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rformance\OneDrive\Documentos\VSCODE\reforma-casa\"/>
    </mc:Choice>
  </mc:AlternateContent>
  <xr:revisionPtr revIDLastSave="0" documentId="8_{4A7AC994-6468-4B07-9EBE-2B9F705E29E6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Empréstimos e Pessoal" sheetId="3" r:id="rId1"/>
    <sheet name="Orçamento Principal" sheetId="1" r:id="rId2"/>
    <sheet name="Extras" sheetId="2" r:id="rId3"/>
  </sheets>
  <definedNames>
    <definedName name="_xlnm._FilterDatabase" localSheetId="0" hidden="1">'Empréstimos e Pessoal'!$A$7:$G$10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3" l="1"/>
  <c r="H86" i="3"/>
  <c r="G86" i="3"/>
  <c r="F86" i="3"/>
  <c r="E86" i="3"/>
  <c r="D86" i="3"/>
  <c r="C86" i="3"/>
  <c r="B86" i="3"/>
  <c r="A86" i="3"/>
  <c r="I85" i="3"/>
  <c r="H85" i="3"/>
  <c r="G85" i="3"/>
  <c r="F85" i="3"/>
  <c r="E85" i="3"/>
  <c r="D85" i="3"/>
  <c r="C85" i="3"/>
  <c r="B85" i="3"/>
  <c r="A85" i="3"/>
  <c r="I84" i="3"/>
  <c r="H84" i="3"/>
  <c r="G84" i="3"/>
  <c r="F84" i="3"/>
  <c r="E84" i="3"/>
  <c r="D84" i="3"/>
  <c r="C84" i="3"/>
  <c r="B84" i="3"/>
  <c r="A84" i="3"/>
  <c r="I83" i="3"/>
  <c r="H83" i="3"/>
  <c r="G83" i="3"/>
  <c r="F83" i="3"/>
  <c r="E83" i="3"/>
  <c r="D83" i="3"/>
  <c r="C83" i="3"/>
  <c r="B83" i="3"/>
  <c r="A83" i="3"/>
  <c r="I82" i="3"/>
  <c r="H82" i="3"/>
  <c r="G82" i="3"/>
  <c r="F82" i="3"/>
  <c r="E82" i="3"/>
  <c r="D82" i="3"/>
  <c r="C82" i="3"/>
  <c r="B82" i="3"/>
  <c r="A82" i="3"/>
  <c r="I81" i="3"/>
  <c r="H81" i="3"/>
  <c r="G81" i="3"/>
  <c r="F81" i="3"/>
  <c r="E81" i="3"/>
  <c r="D81" i="3"/>
  <c r="C81" i="3"/>
  <c r="B81" i="3"/>
  <c r="A81" i="3"/>
  <c r="I80" i="3"/>
  <c r="H80" i="3"/>
  <c r="G80" i="3"/>
  <c r="F80" i="3"/>
  <c r="E80" i="3"/>
  <c r="D80" i="3"/>
  <c r="C80" i="3"/>
  <c r="B80" i="3"/>
  <c r="A80" i="3"/>
  <c r="I79" i="3"/>
  <c r="H79" i="3"/>
  <c r="G79" i="3"/>
  <c r="F79" i="3"/>
  <c r="E79" i="3"/>
  <c r="D79" i="3"/>
  <c r="C79" i="3"/>
  <c r="B79" i="3"/>
  <c r="A79" i="3"/>
  <c r="I78" i="3"/>
  <c r="H78" i="3"/>
  <c r="G78" i="3"/>
  <c r="F78" i="3"/>
  <c r="E78" i="3"/>
  <c r="D78" i="3"/>
  <c r="C78" i="3"/>
  <c r="B78" i="3"/>
  <c r="A78" i="3"/>
  <c r="I77" i="3"/>
  <c r="H77" i="3"/>
  <c r="G77" i="3"/>
  <c r="F77" i="3"/>
  <c r="E77" i="3"/>
  <c r="D77" i="3"/>
  <c r="C77" i="3"/>
  <c r="B77" i="3"/>
  <c r="A77" i="3"/>
  <c r="I76" i="3"/>
  <c r="H76" i="3"/>
  <c r="G76" i="3"/>
  <c r="F76" i="3"/>
  <c r="E76" i="3"/>
  <c r="D76" i="3"/>
  <c r="C76" i="3"/>
  <c r="B76" i="3"/>
  <c r="A76" i="3"/>
  <c r="I75" i="3"/>
  <c r="H75" i="3"/>
  <c r="G75" i="3"/>
  <c r="F75" i="3"/>
  <c r="E75" i="3"/>
  <c r="D75" i="3"/>
  <c r="C75" i="3"/>
  <c r="B75" i="3"/>
  <c r="A75" i="3"/>
  <c r="I74" i="3"/>
  <c r="H74" i="3"/>
  <c r="G74" i="3"/>
  <c r="F74" i="3"/>
  <c r="E74" i="3"/>
  <c r="D74" i="3"/>
  <c r="C74" i="3"/>
  <c r="B74" i="3"/>
  <c r="A74" i="3"/>
  <c r="I73" i="3"/>
  <c r="H73" i="3"/>
  <c r="G73" i="3"/>
  <c r="F73" i="3"/>
  <c r="E73" i="3"/>
  <c r="D73" i="3"/>
  <c r="C73" i="3"/>
  <c r="B73" i="3"/>
  <c r="A73" i="3"/>
  <c r="I72" i="3"/>
  <c r="H72" i="3"/>
  <c r="G72" i="3"/>
  <c r="F72" i="3"/>
  <c r="E72" i="3"/>
  <c r="D72" i="3"/>
  <c r="C72" i="3"/>
  <c r="B72" i="3"/>
  <c r="A72" i="3"/>
  <c r="I71" i="3"/>
  <c r="H71" i="3"/>
  <c r="G71" i="3"/>
  <c r="F71" i="3"/>
  <c r="E71" i="3"/>
  <c r="D71" i="3"/>
  <c r="C71" i="3"/>
  <c r="B71" i="3"/>
  <c r="A71" i="3"/>
  <c r="I70" i="3"/>
  <c r="H70" i="3"/>
  <c r="G70" i="3"/>
  <c r="F70" i="3"/>
  <c r="E70" i="3"/>
  <c r="D70" i="3"/>
  <c r="C70" i="3"/>
  <c r="B70" i="3"/>
  <c r="A70" i="3"/>
  <c r="I69" i="3"/>
  <c r="H69" i="3"/>
  <c r="G69" i="3"/>
  <c r="F69" i="3"/>
  <c r="E69" i="3"/>
  <c r="D69" i="3"/>
  <c r="C69" i="3"/>
  <c r="B69" i="3"/>
  <c r="A69" i="3"/>
  <c r="I68" i="3"/>
  <c r="H68" i="3"/>
  <c r="G68" i="3"/>
  <c r="F68" i="3"/>
  <c r="E68" i="3"/>
  <c r="D68" i="3"/>
  <c r="C68" i="3"/>
  <c r="B68" i="3"/>
  <c r="A68" i="3"/>
  <c r="I67" i="3"/>
  <c r="H67" i="3"/>
  <c r="G67" i="3"/>
  <c r="F67" i="3"/>
  <c r="E67" i="3"/>
  <c r="D67" i="3"/>
  <c r="C67" i="3"/>
  <c r="B67" i="3"/>
  <c r="A67" i="3"/>
  <c r="I66" i="3"/>
  <c r="H66" i="3"/>
  <c r="G66" i="3"/>
  <c r="F66" i="3"/>
  <c r="E66" i="3"/>
  <c r="D66" i="3"/>
  <c r="C66" i="3"/>
  <c r="B66" i="3"/>
  <c r="A66" i="3"/>
  <c r="I65" i="3"/>
  <c r="H65" i="3"/>
  <c r="G65" i="3"/>
  <c r="F65" i="3"/>
  <c r="E65" i="3"/>
  <c r="D65" i="3"/>
  <c r="C65" i="3"/>
  <c r="B65" i="3"/>
  <c r="A65" i="3"/>
  <c r="I64" i="3"/>
  <c r="H64" i="3"/>
  <c r="G64" i="3"/>
  <c r="F64" i="3"/>
  <c r="E64" i="3"/>
  <c r="D64" i="3"/>
  <c r="C64" i="3"/>
  <c r="B64" i="3"/>
  <c r="A64" i="3"/>
  <c r="I63" i="3"/>
  <c r="H63" i="3"/>
  <c r="G63" i="3"/>
  <c r="F63" i="3"/>
  <c r="E63" i="3"/>
  <c r="D63" i="3"/>
  <c r="C63" i="3"/>
  <c r="B63" i="3"/>
  <c r="A63" i="3"/>
  <c r="I62" i="3"/>
  <c r="H62" i="3"/>
  <c r="G62" i="3"/>
  <c r="F62" i="3"/>
  <c r="E62" i="3"/>
  <c r="D62" i="3"/>
  <c r="C62" i="3"/>
  <c r="B62" i="3"/>
  <c r="A62" i="3"/>
  <c r="I61" i="3"/>
  <c r="H61" i="3"/>
  <c r="G61" i="3"/>
  <c r="F61" i="3"/>
  <c r="E61" i="3"/>
  <c r="D61" i="3"/>
  <c r="C61" i="3"/>
  <c r="B61" i="3"/>
  <c r="A61" i="3"/>
  <c r="I60" i="3"/>
  <c r="H60" i="3"/>
  <c r="G60" i="3"/>
  <c r="F60" i="3"/>
  <c r="E60" i="3"/>
  <c r="D60" i="3"/>
  <c r="C60" i="3"/>
  <c r="B60" i="3"/>
  <c r="A60" i="3"/>
  <c r="I59" i="3"/>
  <c r="H59" i="3"/>
  <c r="G59" i="3"/>
  <c r="F59" i="3"/>
  <c r="E59" i="3"/>
  <c r="D59" i="3"/>
  <c r="C59" i="3"/>
  <c r="B59" i="3"/>
  <c r="A59" i="3"/>
  <c r="I58" i="3"/>
  <c r="H58" i="3"/>
  <c r="G58" i="3"/>
  <c r="F58" i="3"/>
  <c r="E58" i="3"/>
  <c r="D58" i="3"/>
  <c r="C58" i="3"/>
  <c r="B58" i="3"/>
  <c r="A58" i="3"/>
  <c r="I57" i="3"/>
  <c r="H57" i="3"/>
  <c r="G57" i="3"/>
  <c r="F57" i="3"/>
  <c r="E57" i="3"/>
  <c r="D57" i="3"/>
  <c r="C57" i="3"/>
  <c r="B57" i="3"/>
  <c r="A57" i="3"/>
  <c r="I56" i="3"/>
  <c r="H56" i="3"/>
  <c r="G56" i="3"/>
  <c r="F56" i="3"/>
  <c r="E56" i="3"/>
  <c r="D56" i="3"/>
  <c r="C56" i="3"/>
  <c r="B56" i="3"/>
  <c r="A56" i="3"/>
  <c r="I55" i="3"/>
  <c r="H55" i="3"/>
  <c r="G55" i="3"/>
  <c r="F55" i="3"/>
  <c r="E55" i="3"/>
  <c r="D55" i="3"/>
  <c r="C55" i="3"/>
  <c r="B55" i="3"/>
  <c r="A55" i="3"/>
  <c r="I54" i="3"/>
  <c r="H54" i="3"/>
  <c r="G54" i="3"/>
  <c r="F54" i="3"/>
  <c r="E54" i="3"/>
  <c r="D54" i="3"/>
  <c r="C54" i="3"/>
  <c r="B54" i="3"/>
  <c r="A54" i="3"/>
  <c r="I53" i="3"/>
  <c r="H53" i="3"/>
  <c r="G53" i="3"/>
  <c r="F53" i="3"/>
  <c r="E53" i="3"/>
  <c r="D53" i="3"/>
  <c r="C53" i="3"/>
  <c r="B53" i="3"/>
  <c r="A53" i="3"/>
  <c r="I52" i="3"/>
  <c r="H52" i="3"/>
  <c r="G52" i="3"/>
  <c r="F52" i="3"/>
  <c r="E52" i="3"/>
  <c r="D52" i="3"/>
  <c r="C52" i="3"/>
  <c r="B52" i="3"/>
  <c r="A52" i="3"/>
  <c r="I51" i="3"/>
  <c r="H51" i="3"/>
  <c r="G51" i="3"/>
  <c r="F51" i="3"/>
  <c r="E51" i="3"/>
  <c r="D51" i="3"/>
  <c r="C51" i="3"/>
  <c r="B51" i="3"/>
  <c r="A51" i="3"/>
  <c r="I50" i="3"/>
  <c r="H50" i="3"/>
  <c r="G50" i="3"/>
  <c r="F50" i="3"/>
  <c r="E50" i="3"/>
  <c r="D50" i="3"/>
  <c r="C50" i="3"/>
  <c r="B50" i="3"/>
  <c r="A50" i="3"/>
  <c r="I49" i="3"/>
  <c r="H49" i="3"/>
  <c r="G49" i="3"/>
  <c r="F49" i="3"/>
  <c r="E49" i="3"/>
  <c r="D49" i="3"/>
  <c r="C49" i="3"/>
  <c r="B49" i="3"/>
  <c r="A49" i="3"/>
  <c r="I48" i="3"/>
  <c r="H48" i="3"/>
  <c r="G48" i="3"/>
  <c r="F48" i="3"/>
  <c r="E48" i="3"/>
  <c r="D48" i="3"/>
  <c r="C48" i="3"/>
  <c r="B48" i="3"/>
  <c r="A48" i="3"/>
  <c r="I47" i="3"/>
  <c r="H47" i="3"/>
  <c r="G47" i="3"/>
  <c r="F47" i="3"/>
  <c r="E47" i="3"/>
  <c r="D47" i="3"/>
  <c r="C47" i="3"/>
  <c r="B47" i="3"/>
  <c r="A47" i="3"/>
  <c r="I46" i="3"/>
  <c r="H46" i="3"/>
  <c r="G46" i="3"/>
  <c r="F46" i="3"/>
  <c r="E46" i="3"/>
  <c r="D46" i="3"/>
  <c r="C46" i="3"/>
  <c r="B46" i="3"/>
  <c r="A46" i="3"/>
  <c r="I45" i="3"/>
  <c r="H45" i="3"/>
  <c r="G45" i="3"/>
  <c r="F45" i="3"/>
  <c r="E45" i="3"/>
  <c r="D45" i="3"/>
  <c r="C45" i="3"/>
  <c r="B45" i="3"/>
  <c r="A45" i="3"/>
  <c r="I44" i="3"/>
  <c r="H44" i="3"/>
  <c r="G44" i="3"/>
  <c r="F44" i="3"/>
  <c r="E44" i="3"/>
  <c r="D44" i="3"/>
  <c r="C44" i="3"/>
  <c r="B44" i="3"/>
  <c r="A44" i="3"/>
  <c r="I43" i="3"/>
  <c r="H43" i="3"/>
  <c r="G43" i="3"/>
  <c r="F43" i="3"/>
  <c r="E43" i="3"/>
  <c r="D43" i="3"/>
  <c r="C43" i="3"/>
  <c r="B43" i="3"/>
  <c r="A43" i="3"/>
  <c r="I42" i="3"/>
  <c r="H42" i="3"/>
  <c r="G42" i="3"/>
  <c r="F42" i="3"/>
  <c r="E42" i="3"/>
  <c r="D42" i="3"/>
  <c r="C42" i="3"/>
  <c r="B42" i="3"/>
  <c r="A42" i="3"/>
  <c r="I41" i="3"/>
  <c r="H41" i="3"/>
  <c r="G41" i="3"/>
  <c r="F41" i="3"/>
  <c r="E41" i="3"/>
  <c r="D41" i="3"/>
  <c r="C41" i="3"/>
  <c r="B41" i="3"/>
  <c r="A41" i="3"/>
  <c r="I40" i="3"/>
  <c r="H40" i="3"/>
  <c r="G40" i="3"/>
  <c r="F40" i="3"/>
  <c r="E40" i="3"/>
  <c r="D40" i="3"/>
  <c r="C40" i="3"/>
  <c r="B40" i="3"/>
  <c r="A40" i="3"/>
  <c r="I39" i="3"/>
  <c r="H39" i="3"/>
  <c r="G39" i="3"/>
  <c r="F39" i="3"/>
  <c r="E39" i="3"/>
  <c r="D39" i="3"/>
  <c r="C39" i="3"/>
  <c r="B39" i="3"/>
  <c r="A39" i="3"/>
  <c r="I38" i="3"/>
  <c r="H38" i="3"/>
  <c r="G38" i="3"/>
  <c r="F38" i="3"/>
  <c r="E38" i="3"/>
  <c r="D38" i="3"/>
  <c r="C38" i="3"/>
  <c r="B38" i="3"/>
  <c r="A38" i="3"/>
  <c r="I37" i="3"/>
  <c r="H37" i="3"/>
  <c r="G37" i="3"/>
  <c r="F37" i="3"/>
  <c r="E37" i="3"/>
  <c r="D37" i="3"/>
  <c r="C37" i="3"/>
  <c r="B37" i="3"/>
  <c r="A37" i="3"/>
  <c r="I36" i="3"/>
  <c r="H36" i="3"/>
  <c r="G36" i="3"/>
  <c r="F36" i="3"/>
  <c r="E36" i="3"/>
  <c r="D36" i="3"/>
  <c r="C36" i="3"/>
  <c r="B36" i="3"/>
  <c r="A36" i="3"/>
  <c r="I35" i="3"/>
  <c r="H35" i="3"/>
  <c r="G35" i="3"/>
  <c r="F35" i="3"/>
  <c r="E35" i="3"/>
  <c r="D35" i="3"/>
  <c r="C35" i="3"/>
  <c r="B35" i="3"/>
  <c r="A35" i="3"/>
  <c r="I34" i="3"/>
  <c r="H34" i="3"/>
  <c r="G34" i="3"/>
  <c r="F34" i="3"/>
  <c r="E34" i="3"/>
  <c r="D34" i="3"/>
  <c r="C34" i="3"/>
  <c r="B34" i="3"/>
  <c r="A34" i="3"/>
  <c r="I33" i="3"/>
  <c r="H33" i="3"/>
  <c r="G33" i="3"/>
  <c r="F33" i="3"/>
  <c r="E33" i="3"/>
  <c r="D33" i="3"/>
  <c r="C33" i="3"/>
  <c r="B33" i="3"/>
  <c r="A33" i="3"/>
  <c r="I32" i="3"/>
  <c r="H32" i="3"/>
  <c r="G32" i="3"/>
  <c r="F32" i="3"/>
  <c r="E32" i="3"/>
  <c r="D32" i="3"/>
  <c r="C32" i="3"/>
  <c r="B32" i="3"/>
  <c r="A32" i="3"/>
  <c r="I31" i="3"/>
  <c r="H31" i="3"/>
  <c r="G31" i="3"/>
  <c r="F31" i="3"/>
  <c r="E31" i="3"/>
  <c r="D31" i="3"/>
  <c r="C31" i="3"/>
  <c r="B31" i="3"/>
  <c r="A31" i="3"/>
  <c r="I30" i="3"/>
  <c r="H30" i="3"/>
  <c r="G30" i="3"/>
  <c r="F30" i="3"/>
  <c r="E30" i="3"/>
  <c r="D30" i="3"/>
  <c r="C30" i="3"/>
  <c r="B30" i="3"/>
  <c r="A30" i="3"/>
  <c r="I29" i="3"/>
  <c r="H29" i="3"/>
  <c r="G29" i="3"/>
  <c r="F29" i="3"/>
  <c r="E29" i="3"/>
  <c r="D29" i="3"/>
  <c r="C29" i="3"/>
  <c r="B29" i="3"/>
  <c r="A29" i="3"/>
  <c r="I28" i="3"/>
  <c r="H28" i="3"/>
  <c r="G28" i="3"/>
  <c r="F28" i="3"/>
  <c r="E28" i="3"/>
  <c r="D28" i="3"/>
  <c r="C28" i="3"/>
  <c r="B28" i="3"/>
  <c r="A28" i="3"/>
  <c r="I27" i="3"/>
  <c r="H27" i="3"/>
  <c r="G27" i="3"/>
  <c r="F27" i="3"/>
  <c r="E27" i="3"/>
  <c r="D27" i="3"/>
  <c r="C27" i="3"/>
  <c r="B27" i="3"/>
  <c r="A27" i="3"/>
  <c r="I26" i="3"/>
  <c r="H26" i="3"/>
  <c r="G26" i="3"/>
  <c r="F26" i="3"/>
  <c r="E26" i="3"/>
  <c r="D26" i="3"/>
  <c r="C26" i="3"/>
  <c r="B26" i="3"/>
  <c r="A26" i="3"/>
  <c r="I25" i="3"/>
  <c r="H25" i="3"/>
  <c r="G25" i="3"/>
  <c r="F25" i="3"/>
  <c r="E25" i="3"/>
  <c r="D25" i="3"/>
  <c r="C25" i="3"/>
  <c r="B25" i="3"/>
  <c r="A25" i="3"/>
  <c r="I24" i="3"/>
  <c r="H24" i="3"/>
  <c r="G24" i="3"/>
  <c r="F24" i="3"/>
  <c r="E24" i="3"/>
  <c r="D24" i="3"/>
  <c r="C24" i="3"/>
  <c r="B24" i="3"/>
  <c r="A24" i="3"/>
  <c r="I23" i="3"/>
  <c r="H23" i="3"/>
  <c r="G23" i="3"/>
  <c r="F23" i="3"/>
  <c r="E23" i="3"/>
  <c r="D23" i="3"/>
  <c r="C23" i="3"/>
  <c r="B23" i="3"/>
  <c r="A23" i="3"/>
  <c r="I22" i="3"/>
  <c r="H22" i="3"/>
  <c r="G22" i="3"/>
  <c r="F22" i="3"/>
  <c r="E22" i="3"/>
  <c r="D22" i="3"/>
  <c r="C22" i="3"/>
  <c r="B22" i="3"/>
  <c r="A22" i="3"/>
  <c r="I21" i="3"/>
  <c r="H21" i="3"/>
  <c r="G21" i="3"/>
  <c r="F21" i="3"/>
  <c r="E21" i="3"/>
  <c r="D21" i="3"/>
  <c r="C21" i="3"/>
  <c r="B21" i="3"/>
  <c r="A21" i="3"/>
  <c r="I20" i="3"/>
  <c r="H20" i="3"/>
  <c r="G20" i="3"/>
  <c r="F20" i="3"/>
  <c r="E20" i="3"/>
  <c r="D20" i="3"/>
  <c r="C20" i="3"/>
  <c r="B20" i="3"/>
  <c r="A20" i="3"/>
  <c r="I19" i="3"/>
  <c r="H19" i="3"/>
  <c r="G19" i="3"/>
  <c r="F19" i="3"/>
  <c r="E19" i="3"/>
  <c r="D19" i="3"/>
  <c r="C19" i="3"/>
  <c r="B19" i="3"/>
  <c r="A19" i="3"/>
  <c r="I18" i="3"/>
  <c r="H18" i="3"/>
  <c r="G18" i="3"/>
  <c r="F18" i="3"/>
  <c r="E18" i="3"/>
  <c r="D18" i="3"/>
  <c r="C18" i="3"/>
  <c r="B18" i="3"/>
  <c r="A18" i="3"/>
  <c r="I17" i="3"/>
  <c r="H17" i="3"/>
  <c r="G17" i="3"/>
  <c r="F17" i="3"/>
  <c r="E17" i="3"/>
  <c r="D17" i="3"/>
  <c r="C17" i="3"/>
  <c r="B17" i="3"/>
  <c r="A17" i="3"/>
  <c r="I16" i="3"/>
  <c r="H16" i="3"/>
  <c r="G16" i="3"/>
  <c r="F16" i="3"/>
  <c r="E16" i="3"/>
  <c r="D16" i="3"/>
  <c r="C16" i="3"/>
  <c r="B16" i="3"/>
  <c r="A16" i="3"/>
  <c r="I15" i="3"/>
  <c r="H15" i="3"/>
  <c r="G15" i="3"/>
  <c r="F15" i="3"/>
  <c r="E15" i="3"/>
  <c r="D15" i="3"/>
  <c r="C15" i="3"/>
  <c r="B15" i="3"/>
  <c r="A15" i="3"/>
  <c r="G9" i="3"/>
  <c r="G10" i="3"/>
  <c r="G8" i="3"/>
  <c r="F9" i="3"/>
  <c r="F10" i="3"/>
  <c r="F8" i="3"/>
  <c r="G4" i="3"/>
  <c r="E4" i="3"/>
  <c r="C4" i="3"/>
  <c r="A4" i="3"/>
  <c r="E4" i="2"/>
  <c r="C4" i="2"/>
  <c r="A4" i="2"/>
  <c r="D12" i="1"/>
  <c r="D11" i="1"/>
  <c r="D10" i="1"/>
  <c r="D9" i="1"/>
  <c r="D8" i="1"/>
  <c r="D7" i="1"/>
  <c r="D4" i="1"/>
  <c r="F4" i="1" s="1"/>
  <c r="A5" i="1" s="1"/>
</calcChain>
</file>

<file path=xl/sharedStrings.xml><?xml version="1.0" encoding="utf-8"?>
<sst xmlns="http://schemas.openxmlformats.org/spreadsheetml/2006/main" count="80" uniqueCount="59">
  <si>
    <t>RASTREADOR DE EXTRAS DA REFORMA</t>
  </si>
  <si>
    <t>Reforma - Casa 367: Orçamento Principal</t>
  </si>
  <si>
    <t>Orçamento Estimado</t>
  </si>
  <si>
    <t>Total de Extras</t>
  </si>
  <si>
    <t>Limite Máximo</t>
  </si>
  <si>
    <t>Total Pago</t>
  </si>
  <si>
    <t>Valor Pago</t>
  </si>
  <si>
    <t>Saldo Restante</t>
  </si>
  <si>
    <t>Valor Pendente</t>
  </si>
  <si>
    <t>Data</t>
  </si>
  <si>
    <t>Descrição</t>
  </si>
  <si>
    <t>Categoria</t>
  </si>
  <si>
    <t>Valor</t>
  </si>
  <si>
    <t>Parcela</t>
  </si>
  <si>
    <t>Status</t>
  </si>
  <si>
    <t>Fornecedor</t>
  </si>
  <si>
    <t>Forma de Pagamento</t>
  </si>
  <si>
    <t>Observações</t>
  </si>
  <si>
    <t>Cadeado Padro LT-30mm</t>
  </si>
  <si>
    <t>Entrada (20%)</t>
  </si>
  <si>
    <t>Outros</t>
  </si>
  <si>
    <t>Pago</t>
  </si>
  <si>
    <t>Brejãoweb</t>
  </si>
  <si>
    <t>Cartão de Crédito</t>
  </si>
  <si>
    <t>Pedro - comprei para ter 2 chaves do portão antes de começar a obra</t>
  </si>
  <si>
    <t>12% mensal</t>
  </si>
  <si>
    <t>Final da obra/entrega</t>
  </si>
  <si>
    <t>CONTROLE FINANCEIRO — REFORMA CASA 367</t>
  </si>
  <si>
    <t>Total emprestado</t>
  </si>
  <si>
    <t>Parcelas/mês</t>
  </si>
  <si>
    <t>Total a pagar</t>
  </si>
  <si>
    <t>Prazo máximo</t>
  </si>
  <si>
    <t>EMPRÉSTIMOS CONTRATADOS</t>
  </si>
  <si>
    <t>Empréstimo</t>
  </si>
  <si>
    <t>Titular</t>
  </si>
  <si>
    <t>Valor inicial</t>
  </si>
  <si>
    <t>Parcelas</t>
  </si>
  <si>
    <t>Valor da parcela</t>
  </si>
  <si>
    <t>Encargos estimados</t>
  </si>
  <si>
    <t>Reforma Casa Brasil</t>
  </si>
  <si>
    <t>Você</t>
  </si>
  <si>
    <t>Namorada</t>
  </si>
  <si>
    <t>Sicoob Credipéu</t>
  </si>
  <si>
    <t>CAMPOS PESSOAIS (EDITE EM AZUL)</t>
  </si>
  <si>
    <t>Renda mensal padrão</t>
  </si>
  <si>
    <t>Gastos pessoais mensais</t>
  </si>
  <si>
    <t>Reserva pessoal atual</t>
  </si>
  <si>
    <t>Observação pessoal</t>
  </si>
  <si>
    <t>Preencha renda e gastos para acompanhar sua sobra mensal.</t>
  </si>
  <si>
    <t>ACOMPANHAMENTO MENSAL — parcelas, despesas pessoais e saldo disponível</t>
  </si>
  <si>
    <t>Mês</t>
  </si>
  <si>
    <t>Casa Brasil</t>
  </si>
  <si>
    <t>Casa Brasil (namorada)</t>
  </si>
  <si>
    <t>Total empréstimos</t>
  </si>
  <si>
    <t>Renda pessoal</t>
  </si>
  <si>
    <t>Gastos pessoais</t>
  </si>
  <si>
    <t>Sobra do mês</t>
  </si>
  <si>
    <t>Parcelas restantes</t>
  </si>
  <si>
    <t>Nota: “Parcelas restantes” representa a soma das parcelas futuras previstas. O saldo oficial do banco pode diferir por juros, antecipações ou renegociações.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</si>
</sst>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R$&quot;\ #,##0.00;[Red]\-&quot;R$&quot;\ #,##0.00"/>
    <numFmt numFmtId="164" formatCode="&quot;R$&quot;\ #,##0.00"/>
    <numFmt numFmtId="165" formatCode="&quot;R$&quot;#,##0.00"/>
    <numFmt numFmtId="166" formatCode="0\ &quot;meses&quot;"/>
    <numFmt numFmtId="167" formatCode="mmm/yyyy"/>
  </numFmts>
  <fonts count="15" x14ac:knownFonts="1">
    <font>
      <sz val="10"/>
      <color rgb="FF000000"/>
      <name val="Arial"/>
      <scheme val="minor"/>
    </font>
    <font>
      <b/>
      <sz val="16"/>
      <color rgb="FFFFFFFF"/>
      <name val="Aptos"/>
      <family val="2"/>
    </font>
    <font>
      <sz val="10"/>
      <color rgb="FF000000"/>
      <name val="Aptos"/>
      <family val="2"/>
    </font>
    <font>
      <b/>
      <sz val="10"/>
      <color rgb="FFFFFFFF"/>
      <name val="Aptos"/>
      <family val="2"/>
    </font>
    <font>
      <b/>
      <sz val="10"/>
      <color rgb="FF0000FF"/>
      <name val="Aptos"/>
      <family val="2"/>
    </font>
    <font>
      <sz val="10"/>
      <color rgb="FF0000FF"/>
      <name val="Aptos"/>
      <family val="2"/>
    </font>
    <font>
      <i/>
      <sz val="10"/>
      <color rgb="FF808080"/>
      <name val="Aptos"/>
      <family val="2"/>
    </font>
    <font>
      <sz val="10"/>
      <color theme="1"/>
      <name val="Aptos"/>
      <family val="2"/>
    </font>
    <font>
      <b/>
      <sz val="10"/>
      <color rgb="FFFF859A"/>
      <name val="Aptos"/>
      <family val="2"/>
    </font>
    <font>
      <sz val="10"/>
      <color rgb="FF181C1F"/>
      <name val="Aptos"/>
      <family val="2"/>
    </font>
    <font>
      <b/>
      <sz val="10"/>
      <color rgb="FF1F4E79"/>
      <name val="Aptos"/>
      <family val="2"/>
    </font>
    <font>
      <b/>
      <sz val="12"/>
      <color rgb="FF1F4E79"/>
      <name val="Aptos"/>
      <family val="2"/>
    </font>
    <font>
      <b/>
      <sz val="10"/>
      <color rgb="FF9C5700"/>
      <name val="Aptos"/>
      <family val="2"/>
    </font>
    <font>
      <b/>
      <sz val="10"/>
      <color rgb="FF006100"/>
      <name val="Aptos"/>
      <family val="2"/>
    </font>
    <font>
      <i/>
      <sz val="10"/>
      <color rgb="FF595959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rgb="FFF8F8FF"/>
      </patternFill>
    </fill>
    <fill>
      <patternFill patternType="solid">
        <fgColor rgb="FFDDEBF7"/>
        <bgColor indexed="64"/>
      </patternFill>
    </fill>
    <fill>
      <patternFill patternType="solid">
        <fgColor rgb="FFF2F6FA"/>
        <bgColor rgb="FFF8F8FF"/>
      </patternFill>
    </fill>
    <fill>
      <patternFill patternType="solid">
        <fgColor rgb="FFF2F6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rgb="FF405F90"/>
      </patternFill>
    </fill>
    <fill>
      <patternFill patternType="solid">
        <fgColor rgb="FFF8FAF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rgb="FFD7E2F8"/>
      </patternFill>
    </fill>
    <fill>
      <patternFill patternType="solid">
        <fgColor rgb="FFF2F6FA"/>
        <bgColor rgb="FFD7E2F8"/>
      </patternFill>
    </fill>
    <fill>
      <patternFill patternType="solid">
        <fgColor rgb="FF2F75B5"/>
        <bgColor rgb="FF3A5F8F"/>
      </patternFill>
    </fill>
    <fill>
      <patternFill patternType="solid">
        <fgColor rgb="FF2F75B5"/>
        <bgColor indexed="64"/>
      </patternFill>
    </fill>
  </fills>
  <borders count="23">
    <border>
      <left/>
      <right/>
      <top/>
      <bottom/>
      <diagonal/>
    </border>
    <border>
      <left style="thin">
        <color rgb="FF74777E"/>
      </left>
      <right/>
      <top style="thin">
        <color rgb="FF74777E"/>
      </top>
      <bottom/>
      <diagonal/>
    </border>
    <border>
      <left/>
      <right style="thin">
        <color rgb="FF74777E"/>
      </right>
      <top style="thin">
        <color rgb="FF74777E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74777E"/>
      </left>
      <right/>
      <top/>
      <bottom style="thin">
        <color rgb="FF74777E"/>
      </bottom>
      <diagonal/>
    </border>
    <border>
      <left/>
      <right style="thin">
        <color rgb="FF74777E"/>
      </right>
      <top/>
      <bottom style="thin">
        <color rgb="FF74777E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74777E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64" fontId="11" fillId="6" borderId="6" xfId="0" applyNumberFormat="1" applyFont="1" applyFill="1" applyBorder="1" applyAlignment="1">
      <alignment horizontal="center" vertical="center"/>
    </xf>
    <xf numFmtId="164" fontId="11" fillId="6" borderId="6" xfId="0" applyNumberFormat="1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14" fontId="7" fillId="2" borderId="18" xfId="0" applyNumberFormat="1" applyFont="1" applyFill="1" applyBorder="1" applyAlignment="1">
      <alignment horizontal="center" vertical="center"/>
    </xf>
    <xf numFmtId="14" fontId="7" fillId="10" borderId="18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8" fontId="7" fillId="2" borderId="14" xfId="0" applyNumberFormat="1" applyFont="1" applyFill="1" applyBorder="1" applyAlignment="1">
      <alignment horizontal="center" vertical="center"/>
    </xf>
    <xf numFmtId="8" fontId="7" fillId="10" borderId="14" xfId="0" applyNumberFormat="1" applyFont="1" applyFill="1" applyBorder="1" applyAlignment="1">
      <alignment horizontal="center" vertical="center"/>
    </xf>
    <xf numFmtId="8" fontId="7" fillId="10" borderId="16" xfId="0" applyNumberFormat="1" applyFont="1" applyFill="1" applyBorder="1" applyAlignment="1">
      <alignment horizontal="center" vertical="center"/>
    </xf>
    <xf numFmtId="0" fontId="13" fillId="11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165" fontId="11" fillId="13" borderId="8" xfId="0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 wrapText="1"/>
    </xf>
    <xf numFmtId="14" fontId="9" fillId="2" borderId="13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8" fontId="9" fillId="2" borderId="13" xfId="0" applyNumberFormat="1" applyFont="1" applyFill="1" applyBorder="1" applyAlignment="1">
      <alignment horizontal="center" vertical="center"/>
    </xf>
    <xf numFmtId="8" fontId="9" fillId="10" borderId="13" xfId="0" applyNumberFormat="1" applyFont="1" applyFill="1" applyBorder="1" applyAlignment="1">
      <alignment horizontal="center" vertical="center"/>
    </xf>
    <xf numFmtId="0" fontId="13" fillId="11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center" vertical="center"/>
    </xf>
    <xf numFmtId="8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166" fontId="11" fillId="7" borderId="0" xfId="0" applyNumberFormat="1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1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8" fontId="5" fillId="10" borderId="13" xfId="0" applyNumberFormat="1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8" fontId="2" fillId="10" borderId="13" xfId="0" applyNumberFormat="1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vertical="center"/>
    </xf>
    <xf numFmtId="8" fontId="4" fillId="8" borderId="13" xfId="0" applyNumberFormat="1" applyFont="1" applyFill="1" applyBorder="1" applyAlignment="1">
      <alignment vertical="center"/>
    </xf>
    <xf numFmtId="0" fontId="4" fillId="8" borderId="13" xfId="0" applyFont="1" applyFill="1" applyBorder="1" applyAlignment="1">
      <alignment vertical="center"/>
    </xf>
    <xf numFmtId="8" fontId="2" fillId="2" borderId="13" xfId="0" applyNumberFormat="1" applyFont="1" applyFill="1" applyBorder="1" applyAlignment="1">
      <alignment horizontal="right" vertical="center"/>
    </xf>
    <xf numFmtId="8" fontId="2" fillId="10" borderId="13" xfId="0" applyNumberFormat="1" applyFont="1" applyFill="1" applyBorder="1" applyAlignment="1">
      <alignment horizontal="right" vertical="center"/>
    </xf>
    <xf numFmtId="0" fontId="3" fillId="15" borderId="13" xfId="0" applyFont="1" applyFill="1" applyBorder="1" applyAlignment="1">
      <alignment horizontal="center" vertical="center" wrapText="1"/>
    </xf>
    <xf numFmtId="167" fontId="2" fillId="2" borderId="13" xfId="0" applyNumberFormat="1" applyFont="1" applyFill="1" applyBorder="1" applyAlignment="1">
      <alignment horizontal="center" vertical="center"/>
    </xf>
    <xf numFmtId="167" fontId="2" fillId="10" borderId="13" xfId="0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vertical="center" wrapText="1"/>
    </xf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D9E1F2"/>
        </left>
        <right/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numFmt numFmtId="12" formatCode="&quot;R$&quot;\ #,##0.00;[Red]\-&quot;R$&quot;\ #,##0.00"/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numFmt numFmtId="12" formatCode="&quot;R$&quot;\ #,##0.00;[Red]\-&quot;R$&quot;\ #,##0.00"/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rgb="FF405F90"/>
          <bgColor rgb="FF2F75B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wrapText="0" indent="0" justifyLastLine="0" shrinkToFit="0" readingOrder="0"/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05F90"/>
          <bgColor rgb="FF40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2">
    <tableStyle name="Extras-style" pivot="0" count="2" xr9:uid="{00000000-0011-0000-FFFF-FFFF00000000}">
      <tableStyleElement type="firstRowStripe" dxfId="26"/>
      <tableStyleElement type="secondRowStripe" dxfId="25"/>
    </tableStyle>
    <tableStyle name="Orçamento Principal-style" pivot="0" count="3" xr9:uid="{00000000-0011-0000-FFFF-FFFF01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Parcelas mensais previstas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'Empréstimos e Pessoal'!$B$14</c:f>
              <c:strCache>
                <c:ptCount val="1"/>
                <c:pt idx="0">
                  <c:v>Casa Brasil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Pessoal'!$B$15:$B$38</c:f>
              <c:numCache>
                <c:formatCode>"R$"#,##0.00_);[Red]\("R$"#,##0.00\)</c:formatCode>
                <c:ptCount val="24"/>
                <c:pt idx="0">
                  <c:v>950</c:v>
                </c:pt>
                <c:pt idx="1">
                  <c:v>950</c:v>
                </c:pt>
                <c:pt idx="2">
                  <c:v>950</c:v>
                </c:pt>
                <c:pt idx="3">
                  <c:v>950</c:v>
                </c:pt>
                <c:pt idx="4">
                  <c:v>950</c:v>
                </c:pt>
                <c:pt idx="5">
                  <c:v>950</c:v>
                </c:pt>
                <c:pt idx="6">
                  <c:v>950</c:v>
                </c:pt>
                <c:pt idx="7">
                  <c:v>950</c:v>
                </c:pt>
                <c:pt idx="8">
                  <c:v>950</c:v>
                </c:pt>
                <c:pt idx="9">
                  <c:v>950</c:v>
                </c:pt>
                <c:pt idx="10">
                  <c:v>950</c:v>
                </c:pt>
                <c:pt idx="11">
                  <c:v>950</c:v>
                </c:pt>
                <c:pt idx="12">
                  <c:v>950</c:v>
                </c:pt>
                <c:pt idx="13">
                  <c:v>950</c:v>
                </c:pt>
                <c:pt idx="14">
                  <c:v>950</c:v>
                </c:pt>
                <c:pt idx="15">
                  <c:v>950</c:v>
                </c:pt>
                <c:pt idx="16">
                  <c:v>950</c:v>
                </c:pt>
                <c:pt idx="17">
                  <c:v>950</c:v>
                </c:pt>
                <c:pt idx="18">
                  <c:v>950</c:v>
                </c:pt>
                <c:pt idx="19">
                  <c:v>950</c:v>
                </c:pt>
                <c:pt idx="20">
                  <c:v>950</c:v>
                </c:pt>
                <c:pt idx="21">
                  <c:v>950</c:v>
                </c:pt>
                <c:pt idx="22">
                  <c:v>950</c:v>
                </c:pt>
                <c:pt idx="23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E1-4789-8A95-C9359B0B645F}"/>
            </c:ext>
          </c:extLst>
        </c:ser>
        <c:ser>
          <c:idx val="1"/>
          <c:order val="1"/>
          <c:tx>
            <c:strRef>
              <c:f>'Empréstimos e Pessoal'!$C$14</c:f>
              <c:strCache>
                <c:ptCount val="1"/>
                <c:pt idx="0">
                  <c:v>Casa Brasil (namorada)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Pessoal'!$C$15:$C$38</c:f>
              <c:numCache>
                <c:formatCode>"R$"#,##0.00_);[Red]\("R$"#,##0.00\)</c:formatCode>
                <c:ptCount val="24"/>
                <c:pt idx="0">
                  <c:v>705</c:v>
                </c:pt>
                <c:pt idx="1">
                  <c:v>705</c:v>
                </c:pt>
                <c:pt idx="2">
                  <c:v>705</c:v>
                </c:pt>
                <c:pt idx="3">
                  <c:v>705</c:v>
                </c:pt>
                <c:pt idx="4">
                  <c:v>705</c:v>
                </c:pt>
                <c:pt idx="5">
                  <c:v>705</c:v>
                </c:pt>
                <c:pt idx="6">
                  <c:v>705</c:v>
                </c:pt>
                <c:pt idx="7">
                  <c:v>705</c:v>
                </c:pt>
                <c:pt idx="8">
                  <c:v>705</c:v>
                </c:pt>
                <c:pt idx="9">
                  <c:v>705</c:v>
                </c:pt>
                <c:pt idx="10">
                  <c:v>705</c:v>
                </c:pt>
                <c:pt idx="11">
                  <c:v>705</c:v>
                </c:pt>
                <c:pt idx="12">
                  <c:v>705</c:v>
                </c:pt>
                <c:pt idx="13">
                  <c:v>705</c:v>
                </c:pt>
                <c:pt idx="14">
                  <c:v>705</c:v>
                </c:pt>
                <c:pt idx="15">
                  <c:v>705</c:v>
                </c:pt>
                <c:pt idx="16">
                  <c:v>705</c:v>
                </c:pt>
                <c:pt idx="17">
                  <c:v>705</c:v>
                </c:pt>
                <c:pt idx="18">
                  <c:v>705</c:v>
                </c:pt>
                <c:pt idx="19">
                  <c:v>705</c:v>
                </c:pt>
                <c:pt idx="20">
                  <c:v>705</c:v>
                </c:pt>
                <c:pt idx="21">
                  <c:v>705</c:v>
                </c:pt>
                <c:pt idx="22">
                  <c:v>705</c:v>
                </c:pt>
                <c:pt idx="23">
                  <c:v>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E1-4789-8A95-C9359B0B645F}"/>
            </c:ext>
          </c:extLst>
        </c:ser>
        <c:ser>
          <c:idx val="2"/>
          <c:order val="2"/>
          <c:tx>
            <c:strRef>
              <c:f>'Empréstimos e Pessoal'!$D$14</c:f>
              <c:strCache>
                <c:ptCount val="1"/>
                <c:pt idx="0">
                  <c:v>Sicoob Credipéu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Pessoal'!$D$15:$D$38</c:f>
              <c:numCache>
                <c:formatCode>"R$"#,##0.00_);[Red]\("R$"#,##0.00\)</c:formatCode>
                <c:ptCount val="24"/>
                <c:pt idx="0">
                  <c:v>2531.71</c:v>
                </c:pt>
                <c:pt idx="1">
                  <c:v>2531.71</c:v>
                </c:pt>
                <c:pt idx="2">
                  <c:v>2531.71</c:v>
                </c:pt>
                <c:pt idx="3">
                  <c:v>2531.71</c:v>
                </c:pt>
                <c:pt idx="4">
                  <c:v>2531.71</c:v>
                </c:pt>
                <c:pt idx="5">
                  <c:v>2531.71</c:v>
                </c:pt>
                <c:pt idx="6">
                  <c:v>2531.71</c:v>
                </c:pt>
                <c:pt idx="7">
                  <c:v>2531.71</c:v>
                </c:pt>
                <c:pt idx="8">
                  <c:v>2531.71</c:v>
                </c:pt>
                <c:pt idx="9">
                  <c:v>2531.71</c:v>
                </c:pt>
                <c:pt idx="10">
                  <c:v>2531.71</c:v>
                </c:pt>
                <c:pt idx="11">
                  <c:v>2531.71</c:v>
                </c:pt>
                <c:pt idx="12">
                  <c:v>2531.71</c:v>
                </c:pt>
                <c:pt idx="13">
                  <c:v>2531.71</c:v>
                </c:pt>
                <c:pt idx="14">
                  <c:v>2531.71</c:v>
                </c:pt>
                <c:pt idx="15">
                  <c:v>2531.71</c:v>
                </c:pt>
                <c:pt idx="16">
                  <c:v>2531.71</c:v>
                </c:pt>
                <c:pt idx="17">
                  <c:v>2531.71</c:v>
                </c:pt>
                <c:pt idx="18">
                  <c:v>2531.71</c:v>
                </c:pt>
                <c:pt idx="19">
                  <c:v>2531.71</c:v>
                </c:pt>
                <c:pt idx="20">
                  <c:v>2531.71</c:v>
                </c:pt>
                <c:pt idx="21">
                  <c:v>2531.71</c:v>
                </c:pt>
                <c:pt idx="22">
                  <c:v>2531.71</c:v>
                </c:pt>
                <c:pt idx="23">
                  <c:v>2531.71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E1-4789-8A95-C9359B0B645F}"/>
            </c:ext>
          </c:extLst>
        </c:ser>
        <c:ser>
          <c:idx val="3"/>
          <c:order val="3"/>
          <c:tx>
            <c:strRef>
              <c:f>'Empréstimos e Pessoal'!$E$14</c:f>
              <c:strCache>
                <c:ptCount val="1"/>
                <c:pt idx="0">
                  <c:v>Total empréstimos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Pessoal'!$E$15:$E$38</c:f>
              <c:numCache>
                <c:formatCode>"R$"#,##0.00_);[Red]\("R$"#,##0.00\)</c:formatCode>
                <c:ptCount val="24"/>
                <c:pt idx="0">
                  <c:v>4186.71</c:v>
                </c:pt>
                <c:pt idx="1">
                  <c:v>4186.71</c:v>
                </c:pt>
                <c:pt idx="2">
                  <c:v>4186.71</c:v>
                </c:pt>
                <c:pt idx="3">
                  <c:v>4186.71</c:v>
                </c:pt>
                <c:pt idx="4">
                  <c:v>4186.71</c:v>
                </c:pt>
                <c:pt idx="5">
                  <c:v>4186.71</c:v>
                </c:pt>
                <c:pt idx="6">
                  <c:v>4186.71</c:v>
                </c:pt>
                <c:pt idx="7">
                  <c:v>4186.71</c:v>
                </c:pt>
                <c:pt idx="8">
                  <c:v>4186.71</c:v>
                </c:pt>
                <c:pt idx="9">
                  <c:v>4186.71</c:v>
                </c:pt>
                <c:pt idx="10">
                  <c:v>4186.71</c:v>
                </c:pt>
                <c:pt idx="11">
                  <c:v>4186.71</c:v>
                </c:pt>
                <c:pt idx="12">
                  <c:v>4186.71</c:v>
                </c:pt>
                <c:pt idx="13">
                  <c:v>4186.71</c:v>
                </c:pt>
                <c:pt idx="14">
                  <c:v>4186.71</c:v>
                </c:pt>
                <c:pt idx="15">
                  <c:v>4186.71</c:v>
                </c:pt>
                <c:pt idx="16">
                  <c:v>4186.71</c:v>
                </c:pt>
                <c:pt idx="17">
                  <c:v>4186.71</c:v>
                </c:pt>
                <c:pt idx="18">
                  <c:v>4186.71</c:v>
                </c:pt>
                <c:pt idx="19">
                  <c:v>4186.71</c:v>
                </c:pt>
                <c:pt idx="20">
                  <c:v>4186.71</c:v>
                </c:pt>
                <c:pt idx="21">
                  <c:v>4186.71</c:v>
                </c:pt>
                <c:pt idx="22">
                  <c:v>4186.71</c:v>
                </c:pt>
                <c:pt idx="23">
                  <c:v>4186.71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E1-4789-8A95-C9359B0B6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891407"/>
        <c:axId val="783621295"/>
      </c:lineChart>
      <c:dateAx>
        <c:axId val="774891407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crossAx val="783621295"/>
        <c:crosses val="autoZero"/>
        <c:auto val="1"/>
        <c:lblOffset val="100"/>
        <c:baseTimeUnit val="months"/>
      </c:dateAx>
      <c:valAx>
        <c:axId val="783621295"/>
        <c:scaling>
          <c:orientation val="minMax"/>
        </c:scaling>
        <c:delete val="0"/>
        <c:axPos val="l"/>
        <c:majorGridlines/>
        <c:numFmt formatCode="&quot;R$&quot;\ #,##0" sourceLinked="0"/>
        <c:majorTickMark val="out"/>
        <c:minorTickMark val="none"/>
        <c:tickLblPos val="nextTo"/>
        <c:crossAx val="774891407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20</xdr:row>
      <xdr:rowOff>25400</xdr:rowOff>
    </xdr:from>
    <xdr:to>
      <xdr:col>15</xdr:col>
      <xdr:colOff>325120</xdr:colOff>
      <xdr:row>38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70E2F4-82B4-0CAB-2BAD-14EC105A4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" displayName="Table_1" ref="A6:F20" headerRowDxfId="16" dataDxfId="21" totalsRowDxfId="15" headerRowBorderDxfId="18" tableBorderDxfId="19">
  <tableColumns count="6">
    <tableColumn id="1" xr3:uid="{00000000-0010-0000-0000-000001000000}" name="Data" dataDxfId="17"/>
    <tableColumn id="2" xr3:uid="{00000000-0010-0000-0000-000002000000}" name="Parcela" dataDxfId="14"/>
    <tableColumn id="3" xr3:uid="{00000000-0010-0000-0000-000003000000}" name="Descrição" dataDxfId="12"/>
    <tableColumn id="4" xr3:uid="{00000000-0010-0000-0000-000004000000}" name="Valor" dataDxfId="13"/>
    <tableColumn id="5" xr3:uid="{00000000-0010-0000-0000-000005000000}" name="Status" dataDxfId="11"/>
    <tableColumn id="6" xr3:uid="{00000000-0010-0000-0000-000006000000}" name="Observações" dataDxfId="10"/>
  </tableColumns>
  <tableStyleInfo name="Orçamento Princip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2" displayName="Table_2" ref="A7:H50" headerRowCount="0" headerRowDxfId="9" dataDxfId="20" totalsRowDxfId="8">
  <tableColumns count="8">
    <tableColumn id="1" xr3:uid="{00000000-0010-0000-0100-000001000000}" name="Column1" dataDxfId="4"/>
    <tableColumn id="2" xr3:uid="{00000000-0010-0000-0100-000002000000}" name="Column2" dataDxfId="2"/>
    <tableColumn id="3" xr3:uid="{00000000-0010-0000-0100-000003000000}" name="Column3" dataDxfId="3"/>
    <tableColumn id="4" xr3:uid="{00000000-0010-0000-0100-000004000000}" name="Column4" dataDxfId="7"/>
    <tableColumn id="5" xr3:uid="{00000000-0010-0000-0100-000005000000}" name="Column5" dataDxfId="5"/>
    <tableColumn id="6" xr3:uid="{00000000-0010-0000-0100-000006000000}" name="Column6" dataDxfId="6"/>
    <tableColumn id="7" xr3:uid="{00000000-0010-0000-0100-000007000000}" name="Column7" dataDxfId="1"/>
    <tableColumn id="8" xr3:uid="{00000000-0010-0000-0100-000008000000}" name="Column8" dataDxfId="0"/>
  </tableColumns>
  <tableStyleInfo name="Extr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0A70-C48E-4044-BF9B-39D1BCCD8A8C}">
  <dimension ref="A1:L88"/>
  <sheetViews>
    <sheetView showGridLines="0" tabSelected="1" workbookViewId="0">
      <pane ySplit="14" topLeftCell="A15" activePane="bottomLeft" state="frozenSplit"/>
      <selection pane="bottomLeft" sqref="A1:L1"/>
    </sheetView>
  </sheetViews>
  <sheetFormatPr defaultRowHeight="13.2" x14ac:dyDescent="0.25"/>
  <cols>
    <col min="1" max="1" width="18.77734375" customWidth="1"/>
    <col min="2" max="2" width="15.77734375" customWidth="1"/>
    <col min="3" max="3" width="23.77734375" customWidth="1"/>
    <col min="4" max="4" width="13.77734375" customWidth="1"/>
    <col min="5" max="5" width="18.77734375" customWidth="1"/>
    <col min="6" max="6" width="16.77734375" customWidth="1"/>
    <col min="7" max="7" width="18.77734375" customWidth="1"/>
    <col min="8" max="8" width="17.77734375" customWidth="1"/>
    <col min="9" max="9" width="25.77734375" customWidth="1"/>
    <col min="10" max="11" width="2.77734375" customWidth="1"/>
    <col min="12" max="12" width="22.77734375" customWidth="1"/>
  </cols>
  <sheetData>
    <row r="1" spans="1:12" ht="30" customHeight="1" x14ac:dyDescent="0.25">
      <c r="A1" s="5" t="s">
        <v>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3.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3.8" x14ac:dyDescent="0.25">
      <c r="A3" s="51" t="s">
        <v>28</v>
      </c>
      <c r="B3" s="51"/>
      <c r="C3" s="51" t="s">
        <v>29</v>
      </c>
      <c r="D3" s="51"/>
      <c r="E3" s="51" t="s">
        <v>30</v>
      </c>
      <c r="F3" s="51"/>
      <c r="G3" s="51" t="s">
        <v>31</v>
      </c>
      <c r="H3" s="51"/>
      <c r="I3" s="1"/>
      <c r="J3" s="1"/>
      <c r="K3" s="1"/>
      <c r="L3" s="1"/>
    </row>
    <row r="4" spans="1:12" ht="15.6" x14ac:dyDescent="0.25">
      <c r="A4" s="52">
        <f>SUM(C8:C10)</f>
        <v>166000</v>
      </c>
      <c r="B4" s="53"/>
      <c r="C4" s="52">
        <f>SUM(E8:E10)</f>
        <v>4186.71</v>
      </c>
      <c r="D4" s="53"/>
      <c r="E4" s="52">
        <f>SUM(F8:F10)</f>
        <v>240682.08000000002</v>
      </c>
      <c r="F4" s="53"/>
      <c r="G4" s="54">
        <f>MAX(D8:D10)</f>
        <v>72</v>
      </c>
      <c r="H4" s="53"/>
      <c r="I4" s="1"/>
      <c r="J4" s="1"/>
      <c r="K4" s="1"/>
      <c r="L4" s="1"/>
    </row>
    <row r="5" spans="1:12" ht="13.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3.8" x14ac:dyDescent="0.25">
      <c r="A6" s="55" t="s">
        <v>32</v>
      </c>
      <c r="B6" s="55"/>
      <c r="C6" s="55"/>
      <c r="D6" s="55"/>
      <c r="E6" s="55"/>
      <c r="F6" s="55"/>
      <c r="G6" s="55"/>
      <c r="H6" s="1"/>
      <c r="I6" s="55" t="s">
        <v>43</v>
      </c>
      <c r="J6" s="55"/>
      <c r="K6" s="55"/>
      <c r="L6" s="55"/>
    </row>
    <row r="7" spans="1:12" ht="13.8" x14ac:dyDescent="0.25">
      <c r="A7" s="56" t="s">
        <v>33</v>
      </c>
      <c r="B7" s="56" t="s">
        <v>34</v>
      </c>
      <c r="C7" s="56" t="s">
        <v>35</v>
      </c>
      <c r="D7" s="56" t="s">
        <v>36</v>
      </c>
      <c r="E7" s="56" t="s">
        <v>37</v>
      </c>
      <c r="F7" s="56" t="s">
        <v>30</v>
      </c>
      <c r="G7" s="56" t="s">
        <v>38</v>
      </c>
      <c r="H7" s="1"/>
      <c r="I7" s="61" t="s">
        <v>44</v>
      </c>
      <c r="J7" s="61"/>
      <c r="K7" s="61"/>
      <c r="L7" s="62">
        <v>0</v>
      </c>
    </row>
    <row r="8" spans="1:12" ht="13.8" x14ac:dyDescent="0.25">
      <c r="A8" s="57" t="s">
        <v>39</v>
      </c>
      <c r="B8" s="57" t="s">
        <v>40</v>
      </c>
      <c r="C8" s="58">
        <v>50000</v>
      </c>
      <c r="D8" s="59">
        <v>72</v>
      </c>
      <c r="E8" s="58">
        <v>950</v>
      </c>
      <c r="F8" s="60">
        <f>D8*E8</f>
        <v>68400</v>
      </c>
      <c r="G8" s="60">
        <f>F8-C8</f>
        <v>18400</v>
      </c>
      <c r="H8" s="1"/>
      <c r="I8" s="61" t="s">
        <v>45</v>
      </c>
      <c r="J8" s="61"/>
      <c r="K8" s="61"/>
      <c r="L8" s="62">
        <v>0</v>
      </c>
    </row>
    <row r="9" spans="1:12" ht="13.8" x14ac:dyDescent="0.25">
      <c r="A9" s="57" t="s">
        <v>39</v>
      </c>
      <c r="B9" s="57" t="s">
        <v>41</v>
      </c>
      <c r="C9" s="58">
        <v>36000</v>
      </c>
      <c r="D9" s="59">
        <v>72</v>
      </c>
      <c r="E9" s="58">
        <v>705</v>
      </c>
      <c r="F9" s="60">
        <f t="shared" ref="F9:F10" si="0">D9*E9</f>
        <v>50760</v>
      </c>
      <c r="G9" s="60">
        <f t="shared" ref="G9:G10" si="1">F9-C9</f>
        <v>14760</v>
      </c>
      <c r="H9" s="1"/>
      <c r="I9" s="61" t="s">
        <v>46</v>
      </c>
      <c r="J9" s="61"/>
      <c r="K9" s="61"/>
      <c r="L9" s="62">
        <v>0</v>
      </c>
    </row>
    <row r="10" spans="1:12" ht="13.8" x14ac:dyDescent="0.25">
      <c r="A10" s="57" t="s">
        <v>42</v>
      </c>
      <c r="B10" s="57" t="s">
        <v>40</v>
      </c>
      <c r="C10" s="58">
        <v>80000</v>
      </c>
      <c r="D10" s="59">
        <v>48</v>
      </c>
      <c r="E10" s="58">
        <v>2531.71</v>
      </c>
      <c r="F10" s="60">
        <f t="shared" si="0"/>
        <v>121522.08</v>
      </c>
      <c r="G10" s="60">
        <f t="shared" si="1"/>
        <v>41522.080000000002</v>
      </c>
      <c r="H10" s="1"/>
      <c r="I10" s="61" t="s">
        <v>47</v>
      </c>
      <c r="J10" s="61"/>
      <c r="K10" s="61"/>
      <c r="L10" s="63"/>
    </row>
    <row r="11" spans="1:12" ht="13.8" x14ac:dyDescent="0.25">
      <c r="A11" s="1"/>
      <c r="B11" s="1"/>
      <c r="C11" s="1"/>
      <c r="D11" s="1"/>
      <c r="E11" s="1"/>
      <c r="F11" s="1"/>
      <c r="G11" s="1"/>
      <c r="H11" s="1"/>
      <c r="I11" s="2" t="s">
        <v>48</v>
      </c>
      <c r="J11" s="3"/>
      <c r="K11" s="3"/>
      <c r="L11" s="3"/>
    </row>
    <row r="12" spans="1:12" ht="13.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3.8" x14ac:dyDescent="0.25">
      <c r="A13" s="55" t="s">
        <v>49</v>
      </c>
      <c r="B13" s="55"/>
      <c r="C13" s="55"/>
      <c r="D13" s="55"/>
      <c r="E13" s="55"/>
      <c r="F13" s="55"/>
      <c r="G13" s="55"/>
      <c r="H13" s="55"/>
      <c r="I13" s="55"/>
      <c r="J13" s="1"/>
      <c r="K13" s="1"/>
      <c r="L13" s="1"/>
    </row>
    <row r="14" spans="1:12" ht="30" customHeight="1" x14ac:dyDescent="0.25">
      <c r="A14" s="66" t="s">
        <v>50</v>
      </c>
      <c r="B14" s="66" t="s">
        <v>51</v>
      </c>
      <c r="C14" s="66" t="s">
        <v>52</v>
      </c>
      <c r="D14" s="66" t="s">
        <v>42</v>
      </c>
      <c r="E14" s="66" t="s">
        <v>53</v>
      </c>
      <c r="F14" s="66" t="s">
        <v>54</v>
      </c>
      <c r="G14" s="66" t="s">
        <v>55</v>
      </c>
      <c r="H14" s="66" t="s">
        <v>56</v>
      </c>
      <c r="I14" s="66" t="s">
        <v>57</v>
      </c>
      <c r="J14" s="1"/>
      <c r="K14" s="1"/>
      <c r="L14" s="1"/>
    </row>
    <row r="15" spans="1:12" ht="13.8" x14ac:dyDescent="0.25">
      <c r="A15" s="67">
        <f>DATE(2026,8,1)</f>
        <v>46235</v>
      </c>
      <c r="B15" s="64">
        <f t="shared" ref="B15:B46" si="2">IF(ROW()-14&lt;=$D$8,$E$8,0)</f>
        <v>950</v>
      </c>
      <c r="C15" s="64">
        <f t="shared" ref="C15:C46" si="3">IF(ROW()-14&lt;=$D$9,$E$9,0)</f>
        <v>705</v>
      </c>
      <c r="D15" s="64">
        <f t="shared" ref="D15:D46" si="4">IF(ROW()-14&lt;=$D$10,$E$10,0)</f>
        <v>2531.71</v>
      </c>
      <c r="E15" s="64">
        <f t="shared" ref="E15:E46" si="5">SUM(B15:D15)</f>
        <v>4186.71</v>
      </c>
      <c r="F15" s="64">
        <f t="shared" ref="F15:F46" si="6">$L$7</f>
        <v>0</v>
      </c>
      <c r="G15" s="64">
        <f t="shared" ref="G15:G46" si="7">$L$8</f>
        <v>0</v>
      </c>
      <c r="H15" s="64">
        <f t="shared" ref="H15:H46" si="8">F15-G15-E15</f>
        <v>-4186.71</v>
      </c>
      <c r="I15" s="64">
        <f t="shared" ref="I15:I46" si="9">MAX(0,($D$8-(ROW()-14))*$E$8)+MAX(0,($D$9-(ROW()-14))*$E$9)+MAX(0,($D$10-(ROW()-14))*$E$10)</f>
        <v>236495.37</v>
      </c>
      <c r="J15" s="1"/>
      <c r="K15" s="1"/>
      <c r="L15" s="1"/>
    </row>
    <row r="16" spans="1:12" ht="13.8" x14ac:dyDescent="0.25">
      <c r="A16" s="68">
        <f>DATE(2026,9,1)</f>
        <v>46266</v>
      </c>
      <c r="B16" s="65">
        <f t="shared" si="2"/>
        <v>950</v>
      </c>
      <c r="C16" s="65">
        <f t="shared" si="3"/>
        <v>705</v>
      </c>
      <c r="D16" s="65">
        <f t="shared" si="4"/>
        <v>2531.71</v>
      </c>
      <c r="E16" s="65">
        <f t="shared" si="5"/>
        <v>4186.71</v>
      </c>
      <c r="F16" s="65">
        <f t="shared" si="6"/>
        <v>0</v>
      </c>
      <c r="G16" s="65">
        <f t="shared" si="7"/>
        <v>0</v>
      </c>
      <c r="H16" s="65">
        <f t="shared" si="8"/>
        <v>-4186.71</v>
      </c>
      <c r="I16" s="65">
        <f t="shared" si="9"/>
        <v>232308.66</v>
      </c>
      <c r="J16" s="1"/>
      <c r="K16" s="1"/>
      <c r="L16" s="1"/>
    </row>
    <row r="17" spans="1:12" ht="13.8" x14ac:dyDescent="0.25">
      <c r="A17" s="67">
        <f>DATE(2026,10,1)</f>
        <v>46296</v>
      </c>
      <c r="B17" s="64">
        <f t="shared" si="2"/>
        <v>950</v>
      </c>
      <c r="C17" s="64">
        <f t="shared" si="3"/>
        <v>705</v>
      </c>
      <c r="D17" s="64">
        <f t="shared" si="4"/>
        <v>2531.71</v>
      </c>
      <c r="E17" s="64">
        <f t="shared" si="5"/>
        <v>4186.71</v>
      </c>
      <c r="F17" s="64">
        <f t="shared" si="6"/>
        <v>0</v>
      </c>
      <c r="G17" s="64">
        <f t="shared" si="7"/>
        <v>0</v>
      </c>
      <c r="H17" s="64">
        <f t="shared" si="8"/>
        <v>-4186.71</v>
      </c>
      <c r="I17" s="64">
        <f t="shared" si="9"/>
        <v>228121.95</v>
      </c>
      <c r="J17" s="1"/>
      <c r="K17" s="1"/>
      <c r="L17" s="1"/>
    </row>
    <row r="18" spans="1:12" ht="13.8" x14ac:dyDescent="0.25">
      <c r="A18" s="68">
        <f>DATE(2026,11,1)</f>
        <v>46327</v>
      </c>
      <c r="B18" s="65">
        <f t="shared" si="2"/>
        <v>950</v>
      </c>
      <c r="C18" s="65">
        <f t="shared" si="3"/>
        <v>705</v>
      </c>
      <c r="D18" s="65">
        <f t="shared" si="4"/>
        <v>2531.71</v>
      </c>
      <c r="E18" s="65">
        <f t="shared" si="5"/>
        <v>4186.71</v>
      </c>
      <c r="F18" s="65">
        <f t="shared" si="6"/>
        <v>0</v>
      </c>
      <c r="G18" s="65">
        <f t="shared" si="7"/>
        <v>0</v>
      </c>
      <c r="H18" s="65">
        <f t="shared" si="8"/>
        <v>-4186.71</v>
      </c>
      <c r="I18" s="65">
        <f t="shared" si="9"/>
        <v>223935.24</v>
      </c>
      <c r="J18" s="1"/>
      <c r="K18" s="1"/>
      <c r="L18" s="1"/>
    </row>
    <row r="19" spans="1:12" ht="13.8" x14ac:dyDescent="0.25">
      <c r="A19" s="67">
        <f>DATE(2026,12,1)</f>
        <v>46357</v>
      </c>
      <c r="B19" s="64">
        <f t="shared" si="2"/>
        <v>950</v>
      </c>
      <c r="C19" s="64">
        <f t="shared" si="3"/>
        <v>705</v>
      </c>
      <c r="D19" s="64">
        <f t="shared" si="4"/>
        <v>2531.71</v>
      </c>
      <c r="E19" s="64">
        <f t="shared" si="5"/>
        <v>4186.71</v>
      </c>
      <c r="F19" s="64">
        <f t="shared" si="6"/>
        <v>0</v>
      </c>
      <c r="G19" s="64">
        <f t="shared" si="7"/>
        <v>0</v>
      </c>
      <c r="H19" s="64">
        <f t="shared" si="8"/>
        <v>-4186.71</v>
      </c>
      <c r="I19" s="64">
        <f t="shared" si="9"/>
        <v>219748.53</v>
      </c>
      <c r="J19" s="1"/>
      <c r="K19" s="1"/>
      <c r="L19" s="1"/>
    </row>
    <row r="20" spans="1:12" ht="13.8" x14ac:dyDescent="0.25">
      <c r="A20" s="68">
        <f>DATE(2026,13,1)</f>
        <v>46388</v>
      </c>
      <c r="B20" s="65">
        <f t="shared" si="2"/>
        <v>950</v>
      </c>
      <c r="C20" s="65">
        <f t="shared" si="3"/>
        <v>705</v>
      </c>
      <c r="D20" s="65">
        <f t="shared" si="4"/>
        <v>2531.71</v>
      </c>
      <c r="E20" s="65">
        <f t="shared" si="5"/>
        <v>4186.71</v>
      </c>
      <c r="F20" s="65">
        <f t="shared" si="6"/>
        <v>0</v>
      </c>
      <c r="G20" s="65">
        <f t="shared" si="7"/>
        <v>0</v>
      </c>
      <c r="H20" s="65">
        <f t="shared" si="8"/>
        <v>-4186.71</v>
      </c>
      <c r="I20" s="65">
        <f t="shared" si="9"/>
        <v>215561.82</v>
      </c>
      <c r="J20" s="1"/>
      <c r="K20" s="1"/>
      <c r="L20" s="1"/>
    </row>
    <row r="21" spans="1:12" ht="13.8" x14ac:dyDescent="0.25">
      <c r="A21" s="67">
        <f>DATE(2026,14,1)</f>
        <v>46419</v>
      </c>
      <c r="B21" s="64">
        <f t="shared" si="2"/>
        <v>950</v>
      </c>
      <c r="C21" s="64">
        <f t="shared" si="3"/>
        <v>705</v>
      </c>
      <c r="D21" s="64">
        <f t="shared" si="4"/>
        <v>2531.71</v>
      </c>
      <c r="E21" s="64">
        <f t="shared" si="5"/>
        <v>4186.71</v>
      </c>
      <c r="F21" s="64">
        <f t="shared" si="6"/>
        <v>0</v>
      </c>
      <c r="G21" s="64">
        <f t="shared" si="7"/>
        <v>0</v>
      </c>
      <c r="H21" s="64">
        <f t="shared" si="8"/>
        <v>-4186.71</v>
      </c>
      <c r="I21" s="64">
        <f t="shared" si="9"/>
        <v>211375.11</v>
      </c>
      <c r="J21" s="1"/>
      <c r="K21" s="1"/>
      <c r="L21" s="1"/>
    </row>
    <row r="22" spans="1:12" ht="13.8" x14ac:dyDescent="0.25">
      <c r="A22" s="68">
        <f>DATE(2026,15,1)</f>
        <v>46447</v>
      </c>
      <c r="B22" s="65">
        <f t="shared" si="2"/>
        <v>950</v>
      </c>
      <c r="C22" s="65">
        <f t="shared" si="3"/>
        <v>705</v>
      </c>
      <c r="D22" s="65">
        <f t="shared" si="4"/>
        <v>2531.71</v>
      </c>
      <c r="E22" s="65">
        <f t="shared" si="5"/>
        <v>4186.71</v>
      </c>
      <c r="F22" s="65">
        <f t="shared" si="6"/>
        <v>0</v>
      </c>
      <c r="G22" s="65">
        <f t="shared" si="7"/>
        <v>0</v>
      </c>
      <c r="H22" s="65">
        <f t="shared" si="8"/>
        <v>-4186.71</v>
      </c>
      <c r="I22" s="65">
        <f t="shared" si="9"/>
        <v>207188.4</v>
      </c>
      <c r="J22" s="1"/>
      <c r="K22" s="1"/>
      <c r="L22" s="1"/>
    </row>
    <row r="23" spans="1:12" ht="13.8" x14ac:dyDescent="0.25">
      <c r="A23" s="67">
        <f>DATE(2026,16,1)</f>
        <v>46478</v>
      </c>
      <c r="B23" s="64">
        <f t="shared" si="2"/>
        <v>950</v>
      </c>
      <c r="C23" s="64">
        <f t="shared" si="3"/>
        <v>705</v>
      </c>
      <c r="D23" s="64">
        <f t="shared" si="4"/>
        <v>2531.71</v>
      </c>
      <c r="E23" s="64">
        <f t="shared" si="5"/>
        <v>4186.71</v>
      </c>
      <c r="F23" s="64">
        <f t="shared" si="6"/>
        <v>0</v>
      </c>
      <c r="G23" s="64">
        <f t="shared" si="7"/>
        <v>0</v>
      </c>
      <c r="H23" s="64">
        <f t="shared" si="8"/>
        <v>-4186.71</v>
      </c>
      <c r="I23" s="64">
        <f t="shared" si="9"/>
        <v>203001.69</v>
      </c>
      <c r="J23" s="1"/>
      <c r="K23" s="1"/>
      <c r="L23" s="1"/>
    </row>
    <row r="24" spans="1:12" ht="13.8" x14ac:dyDescent="0.25">
      <c r="A24" s="68">
        <f>DATE(2026,17,1)</f>
        <v>46508</v>
      </c>
      <c r="B24" s="65">
        <f t="shared" si="2"/>
        <v>950</v>
      </c>
      <c r="C24" s="65">
        <f t="shared" si="3"/>
        <v>705</v>
      </c>
      <c r="D24" s="65">
        <f t="shared" si="4"/>
        <v>2531.71</v>
      </c>
      <c r="E24" s="65">
        <f t="shared" si="5"/>
        <v>4186.71</v>
      </c>
      <c r="F24" s="65">
        <f t="shared" si="6"/>
        <v>0</v>
      </c>
      <c r="G24" s="65">
        <f t="shared" si="7"/>
        <v>0</v>
      </c>
      <c r="H24" s="65">
        <f t="shared" si="8"/>
        <v>-4186.71</v>
      </c>
      <c r="I24" s="65">
        <f t="shared" si="9"/>
        <v>198814.97999999998</v>
      </c>
      <c r="J24" s="1"/>
      <c r="K24" s="1"/>
      <c r="L24" s="1"/>
    </row>
    <row r="25" spans="1:12" ht="13.8" x14ac:dyDescent="0.25">
      <c r="A25" s="67">
        <f>DATE(2026,18,1)</f>
        <v>46539</v>
      </c>
      <c r="B25" s="64">
        <f t="shared" si="2"/>
        <v>950</v>
      </c>
      <c r="C25" s="64">
        <f t="shared" si="3"/>
        <v>705</v>
      </c>
      <c r="D25" s="64">
        <f t="shared" si="4"/>
        <v>2531.71</v>
      </c>
      <c r="E25" s="64">
        <f t="shared" si="5"/>
        <v>4186.71</v>
      </c>
      <c r="F25" s="64">
        <f t="shared" si="6"/>
        <v>0</v>
      </c>
      <c r="G25" s="64">
        <f t="shared" si="7"/>
        <v>0</v>
      </c>
      <c r="H25" s="64">
        <f t="shared" si="8"/>
        <v>-4186.71</v>
      </c>
      <c r="I25" s="64">
        <f t="shared" si="9"/>
        <v>194628.27000000002</v>
      </c>
      <c r="J25" s="1"/>
      <c r="K25" s="1"/>
      <c r="L25" s="1"/>
    </row>
    <row r="26" spans="1:12" ht="13.8" x14ac:dyDescent="0.25">
      <c r="A26" s="68">
        <f>DATE(2026,19,1)</f>
        <v>46569</v>
      </c>
      <c r="B26" s="65">
        <f t="shared" si="2"/>
        <v>950</v>
      </c>
      <c r="C26" s="65">
        <f t="shared" si="3"/>
        <v>705</v>
      </c>
      <c r="D26" s="65">
        <f t="shared" si="4"/>
        <v>2531.71</v>
      </c>
      <c r="E26" s="65">
        <f t="shared" si="5"/>
        <v>4186.71</v>
      </c>
      <c r="F26" s="65">
        <f t="shared" si="6"/>
        <v>0</v>
      </c>
      <c r="G26" s="65">
        <f t="shared" si="7"/>
        <v>0</v>
      </c>
      <c r="H26" s="65">
        <f t="shared" si="8"/>
        <v>-4186.71</v>
      </c>
      <c r="I26" s="65">
        <f t="shared" si="9"/>
        <v>190441.56</v>
      </c>
      <c r="J26" s="1"/>
      <c r="K26" s="1"/>
      <c r="L26" s="1"/>
    </row>
    <row r="27" spans="1:12" ht="13.8" x14ac:dyDescent="0.25">
      <c r="A27" s="67">
        <f>DATE(2026,20,1)</f>
        <v>46600</v>
      </c>
      <c r="B27" s="64">
        <f t="shared" si="2"/>
        <v>950</v>
      </c>
      <c r="C27" s="64">
        <f t="shared" si="3"/>
        <v>705</v>
      </c>
      <c r="D27" s="64">
        <f t="shared" si="4"/>
        <v>2531.71</v>
      </c>
      <c r="E27" s="64">
        <f t="shared" si="5"/>
        <v>4186.71</v>
      </c>
      <c r="F27" s="64">
        <f t="shared" si="6"/>
        <v>0</v>
      </c>
      <c r="G27" s="64">
        <f t="shared" si="7"/>
        <v>0</v>
      </c>
      <c r="H27" s="64">
        <f t="shared" si="8"/>
        <v>-4186.71</v>
      </c>
      <c r="I27" s="64">
        <f t="shared" si="9"/>
        <v>186254.85</v>
      </c>
      <c r="J27" s="1"/>
      <c r="K27" s="1"/>
      <c r="L27" s="1"/>
    </row>
    <row r="28" spans="1:12" ht="13.8" x14ac:dyDescent="0.25">
      <c r="A28" s="68">
        <f>DATE(2026,21,1)</f>
        <v>46631</v>
      </c>
      <c r="B28" s="65">
        <f t="shared" si="2"/>
        <v>950</v>
      </c>
      <c r="C28" s="65">
        <f t="shared" si="3"/>
        <v>705</v>
      </c>
      <c r="D28" s="65">
        <f t="shared" si="4"/>
        <v>2531.71</v>
      </c>
      <c r="E28" s="65">
        <f t="shared" si="5"/>
        <v>4186.71</v>
      </c>
      <c r="F28" s="65">
        <f t="shared" si="6"/>
        <v>0</v>
      </c>
      <c r="G28" s="65">
        <f t="shared" si="7"/>
        <v>0</v>
      </c>
      <c r="H28" s="65">
        <f t="shared" si="8"/>
        <v>-4186.71</v>
      </c>
      <c r="I28" s="65">
        <f t="shared" si="9"/>
        <v>182068.14</v>
      </c>
      <c r="J28" s="1"/>
      <c r="K28" s="1"/>
      <c r="L28" s="1"/>
    </row>
    <row r="29" spans="1:12" ht="13.8" x14ac:dyDescent="0.25">
      <c r="A29" s="67">
        <f>DATE(2026,22,1)</f>
        <v>46661</v>
      </c>
      <c r="B29" s="64">
        <f t="shared" si="2"/>
        <v>950</v>
      </c>
      <c r="C29" s="64">
        <f t="shared" si="3"/>
        <v>705</v>
      </c>
      <c r="D29" s="64">
        <f t="shared" si="4"/>
        <v>2531.71</v>
      </c>
      <c r="E29" s="64">
        <f t="shared" si="5"/>
        <v>4186.71</v>
      </c>
      <c r="F29" s="64">
        <f t="shared" si="6"/>
        <v>0</v>
      </c>
      <c r="G29" s="64">
        <f t="shared" si="7"/>
        <v>0</v>
      </c>
      <c r="H29" s="64">
        <f t="shared" si="8"/>
        <v>-4186.71</v>
      </c>
      <c r="I29" s="64">
        <f t="shared" si="9"/>
        <v>177881.43</v>
      </c>
      <c r="J29" s="1"/>
      <c r="K29" s="1"/>
      <c r="L29" s="1"/>
    </row>
    <row r="30" spans="1:12" ht="13.8" x14ac:dyDescent="0.25">
      <c r="A30" s="68">
        <f>DATE(2026,23,1)</f>
        <v>46692</v>
      </c>
      <c r="B30" s="65">
        <f t="shared" si="2"/>
        <v>950</v>
      </c>
      <c r="C30" s="65">
        <f t="shared" si="3"/>
        <v>705</v>
      </c>
      <c r="D30" s="65">
        <f t="shared" si="4"/>
        <v>2531.71</v>
      </c>
      <c r="E30" s="65">
        <f t="shared" si="5"/>
        <v>4186.71</v>
      </c>
      <c r="F30" s="65">
        <f t="shared" si="6"/>
        <v>0</v>
      </c>
      <c r="G30" s="65">
        <f t="shared" si="7"/>
        <v>0</v>
      </c>
      <c r="H30" s="65">
        <f t="shared" si="8"/>
        <v>-4186.71</v>
      </c>
      <c r="I30" s="65">
        <f t="shared" si="9"/>
        <v>173694.72</v>
      </c>
      <c r="J30" s="1"/>
      <c r="K30" s="1"/>
      <c r="L30" s="1"/>
    </row>
    <row r="31" spans="1:12" ht="13.8" x14ac:dyDescent="0.25">
      <c r="A31" s="67">
        <f>DATE(2026,24,1)</f>
        <v>46722</v>
      </c>
      <c r="B31" s="64">
        <f t="shared" si="2"/>
        <v>950</v>
      </c>
      <c r="C31" s="64">
        <f t="shared" si="3"/>
        <v>705</v>
      </c>
      <c r="D31" s="64">
        <f t="shared" si="4"/>
        <v>2531.71</v>
      </c>
      <c r="E31" s="64">
        <f t="shared" si="5"/>
        <v>4186.71</v>
      </c>
      <c r="F31" s="64">
        <f t="shared" si="6"/>
        <v>0</v>
      </c>
      <c r="G31" s="64">
        <f t="shared" si="7"/>
        <v>0</v>
      </c>
      <c r="H31" s="64">
        <f t="shared" si="8"/>
        <v>-4186.71</v>
      </c>
      <c r="I31" s="64">
        <f t="shared" si="9"/>
        <v>169508.01</v>
      </c>
      <c r="J31" s="1"/>
      <c r="K31" s="1"/>
      <c r="L31" s="1"/>
    </row>
    <row r="32" spans="1:12" ht="13.8" x14ac:dyDescent="0.25">
      <c r="A32" s="68">
        <f>DATE(2026,25,1)</f>
        <v>46753</v>
      </c>
      <c r="B32" s="65">
        <f t="shared" si="2"/>
        <v>950</v>
      </c>
      <c r="C32" s="65">
        <f t="shared" si="3"/>
        <v>705</v>
      </c>
      <c r="D32" s="65">
        <f t="shared" si="4"/>
        <v>2531.71</v>
      </c>
      <c r="E32" s="65">
        <f t="shared" si="5"/>
        <v>4186.71</v>
      </c>
      <c r="F32" s="65">
        <f t="shared" si="6"/>
        <v>0</v>
      </c>
      <c r="G32" s="65">
        <f t="shared" si="7"/>
        <v>0</v>
      </c>
      <c r="H32" s="65">
        <f t="shared" si="8"/>
        <v>-4186.71</v>
      </c>
      <c r="I32" s="65">
        <f t="shared" si="9"/>
        <v>165321.29999999999</v>
      </c>
      <c r="J32" s="1"/>
      <c r="K32" s="1"/>
      <c r="L32" s="1"/>
    </row>
    <row r="33" spans="1:12" ht="13.8" x14ac:dyDescent="0.25">
      <c r="A33" s="67">
        <f>DATE(2026,26,1)</f>
        <v>46784</v>
      </c>
      <c r="B33" s="64">
        <f t="shared" si="2"/>
        <v>950</v>
      </c>
      <c r="C33" s="64">
        <f t="shared" si="3"/>
        <v>705</v>
      </c>
      <c r="D33" s="64">
        <f t="shared" si="4"/>
        <v>2531.71</v>
      </c>
      <c r="E33" s="64">
        <f t="shared" si="5"/>
        <v>4186.71</v>
      </c>
      <c r="F33" s="64">
        <f t="shared" si="6"/>
        <v>0</v>
      </c>
      <c r="G33" s="64">
        <f t="shared" si="7"/>
        <v>0</v>
      </c>
      <c r="H33" s="64">
        <f t="shared" si="8"/>
        <v>-4186.71</v>
      </c>
      <c r="I33" s="64">
        <f t="shared" si="9"/>
        <v>161134.59</v>
      </c>
      <c r="J33" s="1"/>
      <c r="K33" s="1"/>
      <c r="L33" s="1"/>
    </row>
    <row r="34" spans="1:12" ht="13.8" x14ac:dyDescent="0.25">
      <c r="A34" s="68">
        <f>DATE(2026,27,1)</f>
        <v>46813</v>
      </c>
      <c r="B34" s="65">
        <f t="shared" si="2"/>
        <v>950</v>
      </c>
      <c r="C34" s="65">
        <f t="shared" si="3"/>
        <v>705</v>
      </c>
      <c r="D34" s="65">
        <f t="shared" si="4"/>
        <v>2531.71</v>
      </c>
      <c r="E34" s="65">
        <f t="shared" si="5"/>
        <v>4186.71</v>
      </c>
      <c r="F34" s="65">
        <f t="shared" si="6"/>
        <v>0</v>
      </c>
      <c r="G34" s="65">
        <f t="shared" si="7"/>
        <v>0</v>
      </c>
      <c r="H34" s="65">
        <f t="shared" si="8"/>
        <v>-4186.71</v>
      </c>
      <c r="I34" s="65">
        <f t="shared" si="9"/>
        <v>156947.88</v>
      </c>
      <c r="J34" s="1"/>
      <c r="K34" s="1"/>
      <c r="L34" s="1"/>
    </row>
    <row r="35" spans="1:12" ht="13.8" x14ac:dyDescent="0.25">
      <c r="A35" s="67">
        <f>DATE(2026,28,1)</f>
        <v>46844</v>
      </c>
      <c r="B35" s="64">
        <f t="shared" si="2"/>
        <v>950</v>
      </c>
      <c r="C35" s="64">
        <f t="shared" si="3"/>
        <v>705</v>
      </c>
      <c r="D35" s="64">
        <f t="shared" si="4"/>
        <v>2531.71</v>
      </c>
      <c r="E35" s="64">
        <f t="shared" si="5"/>
        <v>4186.71</v>
      </c>
      <c r="F35" s="64">
        <f t="shared" si="6"/>
        <v>0</v>
      </c>
      <c r="G35" s="64">
        <f t="shared" si="7"/>
        <v>0</v>
      </c>
      <c r="H35" s="64">
        <f t="shared" si="8"/>
        <v>-4186.71</v>
      </c>
      <c r="I35" s="64">
        <f t="shared" si="9"/>
        <v>152761.16999999998</v>
      </c>
      <c r="J35" s="1"/>
      <c r="K35" s="1"/>
      <c r="L35" s="1"/>
    </row>
    <row r="36" spans="1:12" ht="13.8" x14ac:dyDescent="0.25">
      <c r="A36" s="68">
        <f>DATE(2026,29,1)</f>
        <v>46874</v>
      </c>
      <c r="B36" s="65">
        <f t="shared" si="2"/>
        <v>950</v>
      </c>
      <c r="C36" s="65">
        <f t="shared" si="3"/>
        <v>705</v>
      </c>
      <c r="D36" s="65">
        <f t="shared" si="4"/>
        <v>2531.71</v>
      </c>
      <c r="E36" s="65">
        <f t="shared" si="5"/>
        <v>4186.71</v>
      </c>
      <c r="F36" s="65">
        <f t="shared" si="6"/>
        <v>0</v>
      </c>
      <c r="G36" s="65">
        <f t="shared" si="7"/>
        <v>0</v>
      </c>
      <c r="H36" s="65">
        <f t="shared" si="8"/>
        <v>-4186.71</v>
      </c>
      <c r="I36" s="65">
        <f t="shared" si="9"/>
        <v>148574.46000000002</v>
      </c>
      <c r="J36" s="1"/>
      <c r="K36" s="1"/>
      <c r="L36" s="1"/>
    </row>
    <row r="37" spans="1:12" ht="13.8" x14ac:dyDescent="0.25">
      <c r="A37" s="67">
        <f>DATE(2026,30,1)</f>
        <v>46905</v>
      </c>
      <c r="B37" s="64">
        <f t="shared" si="2"/>
        <v>950</v>
      </c>
      <c r="C37" s="64">
        <f t="shared" si="3"/>
        <v>705</v>
      </c>
      <c r="D37" s="64">
        <f t="shared" si="4"/>
        <v>2531.71</v>
      </c>
      <c r="E37" s="64">
        <f t="shared" si="5"/>
        <v>4186.71</v>
      </c>
      <c r="F37" s="64">
        <f t="shared" si="6"/>
        <v>0</v>
      </c>
      <c r="G37" s="64">
        <f t="shared" si="7"/>
        <v>0</v>
      </c>
      <c r="H37" s="64">
        <f t="shared" si="8"/>
        <v>-4186.71</v>
      </c>
      <c r="I37" s="64">
        <f t="shared" si="9"/>
        <v>144387.75</v>
      </c>
      <c r="J37" s="1"/>
      <c r="K37" s="1"/>
      <c r="L37" s="1"/>
    </row>
    <row r="38" spans="1:12" ht="13.8" x14ac:dyDescent="0.25">
      <c r="A38" s="68">
        <f>DATE(2026,31,1)</f>
        <v>46935</v>
      </c>
      <c r="B38" s="65">
        <f t="shared" si="2"/>
        <v>950</v>
      </c>
      <c r="C38" s="65">
        <f t="shared" si="3"/>
        <v>705</v>
      </c>
      <c r="D38" s="65">
        <f t="shared" si="4"/>
        <v>2531.71</v>
      </c>
      <c r="E38" s="65">
        <f t="shared" si="5"/>
        <v>4186.71</v>
      </c>
      <c r="F38" s="65">
        <f t="shared" si="6"/>
        <v>0</v>
      </c>
      <c r="G38" s="65">
        <f t="shared" si="7"/>
        <v>0</v>
      </c>
      <c r="H38" s="65">
        <f t="shared" si="8"/>
        <v>-4186.71</v>
      </c>
      <c r="I38" s="65">
        <f t="shared" si="9"/>
        <v>140201.04</v>
      </c>
      <c r="J38" s="1"/>
      <c r="K38" s="1"/>
      <c r="L38" s="1"/>
    </row>
    <row r="39" spans="1:12" ht="13.8" x14ac:dyDescent="0.25">
      <c r="A39" s="67">
        <f>DATE(2026,32,1)</f>
        <v>46966</v>
      </c>
      <c r="B39" s="64">
        <f t="shared" si="2"/>
        <v>950</v>
      </c>
      <c r="C39" s="64">
        <f t="shared" si="3"/>
        <v>705</v>
      </c>
      <c r="D39" s="64">
        <f t="shared" si="4"/>
        <v>2531.71</v>
      </c>
      <c r="E39" s="64">
        <f t="shared" si="5"/>
        <v>4186.71</v>
      </c>
      <c r="F39" s="64">
        <f t="shared" si="6"/>
        <v>0</v>
      </c>
      <c r="G39" s="64">
        <f t="shared" si="7"/>
        <v>0</v>
      </c>
      <c r="H39" s="64">
        <f t="shared" si="8"/>
        <v>-4186.71</v>
      </c>
      <c r="I39" s="64">
        <f t="shared" si="9"/>
        <v>136014.33000000002</v>
      </c>
      <c r="J39" s="1"/>
      <c r="K39" s="1"/>
      <c r="L39" s="1"/>
    </row>
    <row r="40" spans="1:12" ht="13.8" x14ac:dyDescent="0.25">
      <c r="A40" s="68">
        <f>DATE(2026,33,1)</f>
        <v>46997</v>
      </c>
      <c r="B40" s="65">
        <f t="shared" si="2"/>
        <v>950</v>
      </c>
      <c r="C40" s="65">
        <f t="shared" si="3"/>
        <v>705</v>
      </c>
      <c r="D40" s="65">
        <f t="shared" si="4"/>
        <v>2531.71</v>
      </c>
      <c r="E40" s="65">
        <f t="shared" si="5"/>
        <v>4186.71</v>
      </c>
      <c r="F40" s="65">
        <f t="shared" si="6"/>
        <v>0</v>
      </c>
      <c r="G40" s="65">
        <f t="shared" si="7"/>
        <v>0</v>
      </c>
      <c r="H40" s="65">
        <f t="shared" si="8"/>
        <v>-4186.71</v>
      </c>
      <c r="I40" s="65">
        <f t="shared" si="9"/>
        <v>131827.62</v>
      </c>
      <c r="J40" s="1"/>
      <c r="K40" s="1"/>
      <c r="L40" s="1"/>
    </row>
    <row r="41" spans="1:12" ht="13.8" x14ac:dyDescent="0.25">
      <c r="A41" s="67">
        <f>DATE(2026,34,1)</f>
        <v>47027</v>
      </c>
      <c r="B41" s="64">
        <f t="shared" si="2"/>
        <v>950</v>
      </c>
      <c r="C41" s="64">
        <f t="shared" si="3"/>
        <v>705</v>
      </c>
      <c r="D41" s="64">
        <f t="shared" si="4"/>
        <v>2531.71</v>
      </c>
      <c r="E41" s="64">
        <f t="shared" si="5"/>
        <v>4186.71</v>
      </c>
      <c r="F41" s="64">
        <f t="shared" si="6"/>
        <v>0</v>
      </c>
      <c r="G41" s="64">
        <f t="shared" si="7"/>
        <v>0</v>
      </c>
      <c r="H41" s="64">
        <f t="shared" si="8"/>
        <v>-4186.71</v>
      </c>
      <c r="I41" s="64">
        <f t="shared" si="9"/>
        <v>127640.91</v>
      </c>
      <c r="J41" s="1"/>
      <c r="K41" s="1"/>
      <c r="L41" s="1"/>
    </row>
    <row r="42" spans="1:12" ht="13.8" x14ac:dyDescent="0.25">
      <c r="A42" s="68">
        <f>DATE(2026,35,1)</f>
        <v>47058</v>
      </c>
      <c r="B42" s="65">
        <f t="shared" si="2"/>
        <v>950</v>
      </c>
      <c r="C42" s="65">
        <f t="shared" si="3"/>
        <v>705</v>
      </c>
      <c r="D42" s="65">
        <f t="shared" si="4"/>
        <v>2531.71</v>
      </c>
      <c r="E42" s="65">
        <f t="shared" si="5"/>
        <v>4186.71</v>
      </c>
      <c r="F42" s="65">
        <f t="shared" si="6"/>
        <v>0</v>
      </c>
      <c r="G42" s="65">
        <f t="shared" si="7"/>
        <v>0</v>
      </c>
      <c r="H42" s="65">
        <f t="shared" si="8"/>
        <v>-4186.71</v>
      </c>
      <c r="I42" s="65">
        <f t="shared" si="9"/>
        <v>123454.2</v>
      </c>
      <c r="J42" s="1"/>
      <c r="K42" s="1"/>
      <c r="L42" s="1"/>
    </row>
    <row r="43" spans="1:12" ht="13.8" x14ac:dyDescent="0.25">
      <c r="A43" s="67">
        <f>DATE(2026,36,1)</f>
        <v>47088</v>
      </c>
      <c r="B43" s="64">
        <f t="shared" si="2"/>
        <v>950</v>
      </c>
      <c r="C43" s="64">
        <f t="shared" si="3"/>
        <v>705</v>
      </c>
      <c r="D43" s="64">
        <f t="shared" si="4"/>
        <v>2531.71</v>
      </c>
      <c r="E43" s="64">
        <f t="shared" si="5"/>
        <v>4186.71</v>
      </c>
      <c r="F43" s="64">
        <f t="shared" si="6"/>
        <v>0</v>
      </c>
      <c r="G43" s="64">
        <f t="shared" si="7"/>
        <v>0</v>
      </c>
      <c r="H43" s="64">
        <f t="shared" si="8"/>
        <v>-4186.71</v>
      </c>
      <c r="I43" s="64">
        <f t="shared" si="9"/>
        <v>119267.48999999999</v>
      </c>
      <c r="J43" s="1"/>
      <c r="K43" s="1"/>
      <c r="L43" s="1"/>
    </row>
    <row r="44" spans="1:12" ht="13.8" x14ac:dyDescent="0.25">
      <c r="A44" s="68">
        <f>DATE(2026,37,1)</f>
        <v>47119</v>
      </c>
      <c r="B44" s="65">
        <f t="shared" si="2"/>
        <v>950</v>
      </c>
      <c r="C44" s="65">
        <f t="shared" si="3"/>
        <v>705</v>
      </c>
      <c r="D44" s="65">
        <f t="shared" si="4"/>
        <v>2531.71</v>
      </c>
      <c r="E44" s="65">
        <f t="shared" si="5"/>
        <v>4186.71</v>
      </c>
      <c r="F44" s="65">
        <f t="shared" si="6"/>
        <v>0</v>
      </c>
      <c r="G44" s="65">
        <f t="shared" si="7"/>
        <v>0</v>
      </c>
      <c r="H44" s="65">
        <f t="shared" si="8"/>
        <v>-4186.71</v>
      </c>
      <c r="I44" s="65">
        <f t="shared" si="9"/>
        <v>115080.78</v>
      </c>
      <c r="J44" s="1"/>
      <c r="K44" s="1"/>
      <c r="L44" s="1"/>
    </row>
    <row r="45" spans="1:12" ht="13.8" x14ac:dyDescent="0.25">
      <c r="A45" s="67">
        <f>DATE(2026,38,1)</f>
        <v>47150</v>
      </c>
      <c r="B45" s="64">
        <f t="shared" si="2"/>
        <v>950</v>
      </c>
      <c r="C45" s="64">
        <f t="shared" si="3"/>
        <v>705</v>
      </c>
      <c r="D45" s="64">
        <f t="shared" si="4"/>
        <v>2531.71</v>
      </c>
      <c r="E45" s="64">
        <f t="shared" si="5"/>
        <v>4186.71</v>
      </c>
      <c r="F45" s="64">
        <f t="shared" si="6"/>
        <v>0</v>
      </c>
      <c r="G45" s="64">
        <f t="shared" si="7"/>
        <v>0</v>
      </c>
      <c r="H45" s="64">
        <f t="shared" si="8"/>
        <v>-4186.71</v>
      </c>
      <c r="I45" s="64">
        <f t="shared" si="9"/>
        <v>110894.07</v>
      </c>
      <c r="J45" s="1"/>
      <c r="K45" s="1"/>
      <c r="L45" s="1"/>
    </row>
    <row r="46" spans="1:12" ht="13.8" x14ac:dyDescent="0.25">
      <c r="A46" s="68">
        <f>DATE(2026,39,1)</f>
        <v>47178</v>
      </c>
      <c r="B46" s="65">
        <f t="shared" si="2"/>
        <v>950</v>
      </c>
      <c r="C46" s="65">
        <f t="shared" si="3"/>
        <v>705</v>
      </c>
      <c r="D46" s="65">
        <f t="shared" si="4"/>
        <v>2531.71</v>
      </c>
      <c r="E46" s="65">
        <f t="shared" si="5"/>
        <v>4186.71</v>
      </c>
      <c r="F46" s="65">
        <f t="shared" si="6"/>
        <v>0</v>
      </c>
      <c r="G46" s="65">
        <f t="shared" si="7"/>
        <v>0</v>
      </c>
      <c r="H46" s="65">
        <f t="shared" si="8"/>
        <v>-4186.71</v>
      </c>
      <c r="I46" s="65">
        <f t="shared" si="9"/>
        <v>106707.36</v>
      </c>
      <c r="J46" s="1"/>
      <c r="K46" s="1"/>
      <c r="L46" s="1"/>
    </row>
    <row r="47" spans="1:12" ht="13.8" x14ac:dyDescent="0.25">
      <c r="A47" s="67">
        <f>DATE(2026,40,1)</f>
        <v>47209</v>
      </c>
      <c r="B47" s="64">
        <f t="shared" ref="B47:B78" si="10">IF(ROW()-14&lt;=$D$8,$E$8,0)</f>
        <v>950</v>
      </c>
      <c r="C47" s="64">
        <f t="shared" ref="C47:C78" si="11">IF(ROW()-14&lt;=$D$9,$E$9,0)</f>
        <v>705</v>
      </c>
      <c r="D47" s="64">
        <f t="shared" ref="D47:D78" si="12">IF(ROW()-14&lt;=$D$10,$E$10,0)</f>
        <v>2531.71</v>
      </c>
      <c r="E47" s="64">
        <f t="shared" ref="E47:E78" si="13">SUM(B47:D47)</f>
        <v>4186.71</v>
      </c>
      <c r="F47" s="64">
        <f t="shared" ref="F47:F78" si="14">$L$7</f>
        <v>0</v>
      </c>
      <c r="G47" s="64">
        <f t="shared" ref="G47:G78" si="15">$L$8</f>
        <v>0</v>
      </c>
      <c r="H47" s="64">
        <f t="shared" ref="H47:H78" si="16">F47-G47-E47</f>
        <v>-4186.71</v>
      </c>
      <c r="I47" s="64">
        <f t="shared" ref="I47:I78" si="17">MAX(0,($D$8-(ROW()-14))*$E$8)+MAX(0,($D$9-(ROW()-14))*$E$9)+MAX(0,($D$10-(ROW()-14))*$E$10)</f>
        <v>102520.65</v>
      </c>
      <c r="J47" s="1"/>
      <c r="K47" s="1"/>
      <c r="L47" s="1"/>
    </row>
    <row r="48" spans="1:12" ht="13.8" x14ac:dyDescent="0.25">
      <c r="A48" s="68">
        <f>DATE(2026,41,1)</f>
        <v>47239</v>
      </c>
      <c r="B48" s="65">
        <f t="shared" si="10"/>
        <v>950</v>
      </c>
      <c r="C48" s="65">
        <f t="shared" si="11"/>
        <v>705</v>
      </c>
      <c r="D48" s="65">
        <f t="shared" si="12"/>
        <v>2531.71</v>
      </c>
      <c r="E48" s="65">
        <f t="shared" si="13"/>
        <v>4186.71</v>
      </c>
      <c r="F48" s="65">
        <f t="shared" si="14"/>
        <v>0</v>
      </c>
      <c r="G48" s="65">
        <f t="shared" si="15"/>
        <v>0</v>
      </c>
      <c r="H48" s="65">
        <f t="shared" si="16"/>
        <v>-4186.71</v>
      </c>
      <c r="I48" s="65">
        <f t="shared" si="17"/>
        <v>98333.94</v>
      </c>
      <c r="J48" s="1"/>
      <c r="K48" s="1"/>
      <c r="L48" s="1"/>
    </row>
    <row r="49" spans="1:12" ht="13.8" x14ac:dyDescent="0.25">
      <c r="A49" s="67">
        <f>DATE(2026,42,1)</f>
        <v>47270</v>
      </c>
      <c r="B49" s="64">
        <f t="shared" si="10"/>
        <v>950</v>
      </c>
      <c r="C49" s="64">
        <f t="shared" si="11"/>
        <v>705</v>
      </c>
      <c r="D49" s="64">
        <f t="shared" si="12"/>
        <v>2531.71</v>
      </c>
      <c r="E49" s="64">
        <f t="shared" si="13"/>
        <v>4186.71</v>
      </c>
      <c r="F49" s="64">
        <f t="shared" si="14"/>
        <v>0</v>
      </c>
      <c r="G49" s="64">
        <f t="shared" si="15"/>
        <v>0</v>
      </c>
      <c r="H49" s="64">
        <f t="shared" si="16"/>
        <v>-4186.71</v>
      </c>
      <c r="I49" s="64">
        <f t="shared" si="17"/>
        <v>94147.23000000001</v>
      </c>
      <c r="J49" s="1"/>
      <c r="K49" s="1"/>
      <c r="L49" s="1"/>
    </row>
    <row r="50" spans="1:12" ht="13.8" x14ac:dyDescent="0.25">
      <c r="A50" s="68">
        <f>DATE(2026,43,1)</f>
        <v>47300</v>
      </c>
      <c r="B50" s="65">
        <f t="shared" si="10"/>
        <v>950</v>
      </c>
      <c r="C50" s="65">
        <f t="shared" si="11"/>
        <v>705</v>
      </c>
      <c r="D50" s="65">
        <f t="shared" si="12"/>
        <v>2531.71</v>
      </c>
      <c r="E50" s="65">
        <f t="shared" si="13"/>
        <v>4186.71</v>
      </c>
      <c r="F50" s="65">
        <f t="shared" si="14"/>
        <v>0</v>
      </c>
      <c r="G50" s="65">
        <f t="shared" si="15"/>
        <v>0</v>
      </c>
      <c r="H50" s="65">
        <f t="shared" si="16"/>
        <v>-4186.71</v>
      </c>
      <c r="I50" s="65">
        <f t="shared" si="17"/>
        <v>89960.52</v>
      </c>
      <c r="J50" s="1"/>
      <c r="K50" s="1"/>
      <c r="L50" s="1"/>
    </row>
    <row r="51" spans="1:12" ht="13.8" x14ac:dyDescent="0.25">
      <c r="A51" s="67">
        <f>DATE(2026,44,1)</f>
        <v>47331</v>
      </c>
      <c r="B51" s="64">
        <f t="shared" si="10"/>
        <v>950</v>
      </c>
      <c r="C51" s="64">
        <f t="shared" si="11"/>
        <v>705</v>
      </c>
      <c r="D51" s="64">
        <f t="shared" si="12"/>
        <v>2531.71</v>
      </c>
      <c r="E51" s="64">
        <f t="shared" si="13"/>
        <v>4186.71</v>
      </c>
      <c r="F51" s="64">
        <f t="shared" si="14"/>
        <v>0</v>
      </c>
      <c r="G51" s="64">
        <f t="shared" si="15"/>
        <v>0</v>
      </c>
      <c r="H51" s="64">
        <f t="shared" si="16"/>
        <v>-4186.71</v>
      </c>
      <c r="I51" s="64">
        <f t="shared" si="17"/>
        <v>85773.81</v>
      </c>
      <c r="J51" s="1"/>
      <c r="K51" s="1"/>
      <c r="L51" s="1"/>
    </row>
    <row r="52" spans="1:12" ht="13.8" x14ac:dyDescent="0.25">
      <c r="A52" s="68">
        <f>DATE(2026,45,1)</f>
        <v>47362</v>
      </c>
      <c r="B52" s="65">
        <f t="shared" si="10"/>
        <v>950</v>
      </c>
      <c r="C52" s="65">
        <f t="shared" si="11"/>
        <v>705</v>
      </c>
      <c r="D52" s="65">
        <f t="shared" si="12"/>
        <v>2531.71</v>
      </c>
      <c r="E52" s="65">
        <f t="shared" si="13"/>
        <v>4186.71</v>
      </c>
      <c r="F52" s="65">
        <f t="shared" si="14"/>
        <v>0</v>
      </c>
      <c r="G52" s="65">
        <f t="shared" si="15"/>
        <v>0</v>
      </c>
      <c r="H52" s="65">
        <f t="shared" si="16"/>
        <v>-4186.71</v>
      </c>
      <c r="I52" s="65">
        <f t="shared" si="17"/>
        <v>81587.100000000006</v>
      </c>
      <c r="J52" s="1"/>
      <c r="K52" s="1"/>
      <c r="L52" s="1"/>
    </row>
    <row r="53" spans="1:12" ht="13.8" x14ac:dyDescent="0.25">
      <c r="A53" s="67">
        <f>DATE(2026,46,1)</f>
        <v>47392</v>
      </c>
      <c r="B53" s="64">
        <f t="shared" si="10"/>
        <v>950</v>
      </c>
      <c r="C53" s="64">
        <f t="shared" si="11"/>
        <v>705</v>
      </c>
      <c r="D53" s="64">
        <f t="shared" si="12"/>
        <v>2531.71</v>
      </c>
      <c r="E53" s="64">
        <f t="shared" si="13"/>
        <v>4186.71</v>
      </c>
      <c r="F53" s="64">
        <f t="shared" si="14"/>
        <v>0</v>
      </c>
      <c r="G53" s="64">
        <f t="shared" si="15"/>
        <v>0</v>
      </c>
      <c r="H53" s="64">
        <f t="shared" si="16"/>
        <v>-4186.71</v>
      </c>
      <c r="I53" s="64">
        <f t="shared" si="17"/>
        <v>77400.39</v>
      </c>
      <c r="J53" s="1"/>
      <c r="K53" s="1"/>
      <c r="L53" s="1"/>
    </row>
    <row r="54" spans="1:12" ht="13.8" x14ac:dyDescent="0.25">
      <c r="A54" s="68">
        <f>DATE(2026,47,1)</f>
        <v>47423</v>
      </c>
      <c r="B54" s="65">
        <f t="shared" si="10"/>
        <v>950</v>
      </c>
      <c r="C54" s="65">
        <f t="shared" si="11"/>
        <v>705</v>
      </c>
      <c r="D54" s="65">
        <f t="shared" si="12"/>
        <v>2531.71</v>
      </c>
      <c r="E54" s="65">
        <f t="shared" si="13"/>
        <v>4186.71</v>
      </c>
      <c r="F54" s="65">
        <f t="shared" si="14"/>
        <v>0</v>
      </c>
      <c r="G54" s="65">
        <f t="shared" si="15"/>
        <v>0</v>
      </c>
      <c r="H54" s="65">
        <f t="shared" si="16"/>
        <v>-4186.71</v>
      </c>
      <c r="I54" s="65">
        <f t="shared" si="17"/>
        <v>73213.679999999993</v>
      </c>
      <c r="J54" s="1"/>
      <c r="K54" s="1"/>
      <c r="L54" s="1"/>
    </row>
    <row r="55" spans="1:12" ht="13.8" x14ac:dyDescent="0.25">
      <c r="A55" s="67">
        <f>DATE(2026,48,1)</f>
        <v>47453</v>
      </c>
      <c r="B55" s="64">
        <f t="shared" si="10"/>
        <v>950</v>
      </c>
      <c r="C55" s="64">
        <f t="shared" si="11"/>
        <v>705</v>
      </c>
      <c r="D55" s="64">
        <f t="shared" si="12"/>
        <v>2531.71</v>
      </c>
      <c r="E55" s="64">
        <f t="shared" si="13"/>
        <v>4186.71</v>
      </c>
      <c r="F55" s="64">
        <f t="shared" si="14"/>
        <v>0</v>
      </c>
      <c r="G55" s="64">
        <f t="shared" si="15"/>
        <v>0</v>
      </c>
      <c r="H55" s="64">
        <f t="shared" si="16"/>
        <v>-4186.71</v>
      </c>
      <c r="I55" s="64">
        <f t="shared" si="17"/>
        <v>69026.97</v>
      </c>
      <c r="J55" s="1"/>
      <c r="K55" s="1"/>
      <c r="L55" s="1"/>
    </row>
    <row r="56" spans="1:12" ht="13.8" x14ac:dyDescent="0.25">
      <c r="A56" s="68">
        <f>DATE(2026,49,1)</f>
        <v>47484</v>
      </c>
      <c r="B56" s="65">
        <f t="shared" si="10"/>
        <v>950</v>
      </c>
      <c r="C56" s="65">
        <f t="shared" si="11"/>
        <v>705</v>
      </c>
      <c r="D56" s="65">
        <f t="shared" si="12"/>
        <v>2531.71</v>
      </c>
      <c r="E56" s="65">
        <f t="shared" si="13"/>
        <v>4186.71</v>
      </c>
      <c r="F56" s="65">
        <f t="shared" si="14"/>
        <v>0</v>
      </c>
      <c r="G56" s="65">
        <f t="shared" si="15"/>
        <v>0</v>
      </c>
      <c r="H56" s="65">
        <f t="shared" si="16"/>
        <v>-4186.71</v>
      </c>
      <c r="I56" s="65">
        <f t="shared" si="17"/>
        <v>64840.26</v>
      </c>
      <c r="J56" s="1"/>
      <c r="K56" s="1"/>
      <c r="L56" s="1"/>
    </row>
    <row r="57" spans="1:12" ht="13.8" x14ac:dyDescent="0.25">
      <c r="A57" s="67">
        <f>DATE(2026,50,1)</f>
        <v>47515</v>
      </c>
      <c r="B57" s="64">
        <f t="shared" si="10"/>
        <v>950</v>
      </c>
      <c r="C57" s="64">
        <f t="shared" si="11"/>
        <v>705</v>
      </c>
      <c r="D57" s="64">
        <f t="shared" si="12"/>
        <v>2531.71</v>
      </c>
      <c r="E57" s="64">
        <f t="shared" si="13"/>
        <v>4186.71</v>
      </c>
      <c r="F57" s="64">
        <f t="shared" si="14"/>
        <v>0</v>
      </c>
      <c r="G57" s="64">
        <f t="shared" si="15"/>
        <v>0</v>
      </c>
      <c r="H57" s="64">
        <f t="shared" si="16"/>
        <v>-4186.71</v>
      </c>
      <c r="I57" s="64">
        <f t="shared" si="17"/>
        <v>60653.55</v>
      </c>
      <c r="J57" s="1"/>
      <c r="K57" s="1"/>
      <c r="L57" s="1"/>
    </row>
    <row r="58" spans="1:12" ht="13.8" x14ac:dyDescent="0.25">
      <c r="A58" s="68">
        <f>DATE(2026,51,1)</f>
        <v>47543</v>
      </c>
      <c r="B58" s="65">
        <f t="shared" si="10"/>
        <v>950</v>
      </c>
      <c r="C58" s="65">
        <f t="shared" si="11"/>
        <v>705</v>
      </c>
      <c r="D58" s="65">
        <f t="shared" si="12"/>
        <v>2531.71</v>
      </c>
      <c r="E58" s="65">
        <f t="shared" si="13"/>
        <v>4186.71</v>
      </c>
      <c r="F58" s="65">
        <f t="shared" si="14"/>
        <v>0</v>
      </c>
      <c r="G58" s="65">
        <f t="shared" si="15"/>
        <v>0</v>
      </c>
      <c r="H58" s="65">
        <f t="shared" si="16"/>
        <v>-4186.71</v>
      </c>
      <c r="I58" s="65">
        <f t="shared" si="17"/>
        <v>56466.84</v>
      </c>
      <c r="J58" s="1"/>
      <c r="K58" s="1"/>
      <c r="L58" s="1"/>
    </row>
    <row r="59" spans="1:12" ht="13.8" x14ac:dyDescent="0.25">
      <c r="A59" s="67">
        <f>DATE(2026,52,1)</f>
        <v>47574</v>
      </c>
      <c r="B59" s="64">
        <f t="shared" si="10"/>
        <v>950</v>
      </c>
      <c r="C59" s="64">
        <f t="shared" si="11"/>
        <v>705</v>
      </c>
      <c r="D59" s="64">
        <f t="shared" si="12"/>
        <v>2531.71</v>
      </c>
      <c r="E59" s="64">
        <f t="shared" si="13"/>
        <v>4186.71</v>
      </c>
      <c r="F59" s="64">
        <f t="shared" si="14"/>
        <v>0</v>
      </c>
      <c r="G59" s="64">
        <f t="shared" si="15"/>
        <v>0</v>
      </c>
      <c r="H59" s="64">
        <f t="shared" si="16"/>
        <v>-4186.71</v>
      </c>
      <c r="I59" s="64">
        <f t="shared" si="17"/>
        <v>52280.13</v>
      </c>
      <c r="J59" s="1"/>
      <c r="K59" s="1"/>
      <c r="L59" s="1"/>
    </row>
    <row r="60" spans="1:12" ht="13.8" x14ac:dyDescent="0.25">
      <c r="A60" s="68">
        <f>DATE(2026,53,1)</f>
        <v>47604</v>
      </c>
      <c r="B60" s="65">
        <f t="shared" si="10"/>
        <v>950</v>
      </c>
      <c r="C60" s="65">
        <f t="shared" si="11"/>
        <v>705</v>
      </c>
      <c r="D60" s="65">
        <f t="shared" si="12"/>
        <v>2531.71</v>
      </c>
      <c r="E60" s="65">
        <f t="shared" si="13"/>
        <v>4186.71</v>
      </c>
      <c r="F60" s="65">
        <f t="shared" si="14"/>
        <v>0</v>
      </c>
      <c r="G60" s="65">
        <f t="shared" si="15"/>
        <v>0</v>
      </c>
      <c r="H60" s="65">
        <f t="shared" si="16"/>
        <v>-4186.71</v>
      </c>
      <c r="I60" s="65">
        <f t="shared" si="17"/>
        <v>48093.42</v>
      </c>
      <c r="J60" s="1"/>
      <c r="K60" s="1"/>
      <c r="L60" s="1"/>
    </row>
    <row r="61" spans="1:12" ht="13.8" x14ac:dyDescent="0.25">
      <c r="A61" s="67">
        <f>DATE(2026,54,1)</f>
        <v>47635</v>
      </c>
      <c r="B61" s="64">
        <f t="shared" si="10"/>
        <v>950</v>
      </c>
      <c r="C61" s="64">
        <f t="shared" si="11"/>
        <v>705</v>
      </c>
      <c r="D61" s="64">
        <f t="shared" si="12"/>
        <v>2531.71</v>
      </c>
      <c r="E61" s="64">
        <f t="shared" si="13"/>
        <v>4186.71</v>
      </c>
      <c r="F61" s="64">
        <f t="shared" si="14"/>
        <v>0</v>
      </c>
      <c r="G61" s="64">
        <f t="shared" si="15"/>
        <v>0</v>
      </c>
      <c r="H61" s="64">
        <f t="shared" si="16"/>
        <v>-4186.71</v>
      </c>
      <c r="I61" s="64">
        <f t="shared" si="17"/>
        <v>43906.71</v>
      </c>
      <c r="J61" s="1"/>
      <c r="K61" s="1"/>
      <c r="L61" s="1"/>
    </row>
    <row r="62" spans="1:12" ht="13.8" x14ac:dyDescent="0.25">
      <c r="A62" s="68">
        <f>DATE(2026,55,1)</f>
        <v>47665</v>
      </c>
      <c r="B62" s="65">
        <f t="shared" si="10"/>
        <v>950</v>
      </c>
      <c r="C62" s="65">
        <f t="shared" si="11"/>
        <v>705</v>
      </c>
      <c r="D62" s="65">
        <f t="shared" si="12"/>
        <v>2531.71</v>
      </c>
      <c r="E62" s="65">
        <f t="shared" si="13"/>
        <v>4186.71</v>
      </c>
      <c r="F62" s="65">
        <f t="shared" si="14"/>
        <v>0</v>
      </c>
      <c r="G62" s="65">
        <f t="shared" si="15"/>
        <v>0</v>
      </c>
      <c r="H62" s="65">
        <f t="shared" si="16"/>
        <v>-4186.71</v>
      </c>
      <c r="I62" s="65">
        <f t="shared" si="17"/>
        <v>39720</v>
      </c>
      <c r="J62" s="1"/>
      <c r="K62" s="1"/>
      <c r="L62" s="1"/>
    </row>
    <row r="63" spans="1:12" ht="13.8" x14ac:dyDescent="0.25">
      <c r="A63" s="67">
        <f>DATE(2026,56,1)</f>
        <v>47696</v>
      </c>
      <c r="B63" s="64">
        <f t="shared" si="10"/>
        <v>950</v>
      </c>
      <c r="C63" s="64">
        <f t="shared" si="11"/>
        <v>705</v>
      </c>
      <c r="D63" s="64">
        <f t="shared" si="12"/>
        <v>0</v>
      </c>
      <c r="E63" s="64">
        <f t="shared" si="13"/>
        <v>1655</v>
      </c>
      <c r="F63" s="64">
        <f t="shared" si="14"/>
        <v>0</v>
      </c>
      <c r="G63" s="64">
        <f t="shared" si="15"/>
        <v>0</v>
      </c>
      <c r="H63" s="64">
        <f t="shared" si="16"/>
        <v>-1655</v>
      </c>
      <c r="I63" s="64">
        <f t="shared" si="17"/>
        <v>38065</v>
      </c>
      <c r="J63" s="1"/>
      <c r="K63" s="1"/>
      <c r="L63" s="1"/>
    </row>
    <row r="64" spans="1:12" ht="13.8" x14ac:dyDescent="0.25">
      <c r="A64" s="68">
        <f>DATE(2026,57,1)</f>
        <v>47727</v>
      </c>
      <c r="B64" s="65">
        <f t="shared" si="10"/>
        <v>950</v>
      </c>
      <c r="C64" s="65">
        <f t="shared" si="11"/>
        <v>705</v>
      </c>
      <c r="D64" s="65">
        <f t="shared" si="12"/>
        <v>0</v>
      </c>
      <c r="E64" s="65">
        <f t="shared" si="13"/>
        <v>1655</v>
      </c>
      <c r="F64" s="65">
        <f t="shared" si="14"/>
        <v>0</v>
      </c>
      <c r="G64" s="65">
        <f t="shared" si="15"/>
        <v>0</v>
      </c>
      <c r="H64" s="65">
        <f t="shared" si="16"/>
        <v>-1655</v>
      </c>
      <c r="I64" s="65">
        <f t="shared" si="17"/>
        <v>36410</v>
      </c>
      <c r="J64" s="1"/>
      <c r="K64" s="1"/>
      <c r="L64" s="1"/>
    </row>
    <row r="65" spans="1:12" ht="13.8" x14ac:dyDescent="0.25">
      <c r="A65" s="67">
        <f>DATE(2026,58,1)</f>
        <v>47757</v>
      </c>
      <c r="B65" s="64">
        <f t="shared" si="10"/>
        <v>950</v>
      </c>
      <c r="C65" s="64">
        <f t="shared" si="11"/>
        <v>705</v>
      </c>
      <c r="D65" s="64">
        <f t="shared" si="12"/>
        <v>0</v>
      </c>
      <c r="E65" s="64">
        <f t="shared" si="13"/>
        <v>1655</v>
      </c>
      <c r="F65" s="64">
        <f t="shared" si="14"/>
        <v>0</v>
      </c>
      <c r="G65" s="64">
        <f t="shared" si="15"/>
        <v>0</v>
      </c>
      <c r="H65" s="64">
        <f t="shared" si="16"/>
        <v>-1655</v>
      </c>
      <c r="I65" s="64">
        <f t="shared" si="17"/>
        <v>34755</v>
      </c>
      <c r="J65" s="1"/>
      <c r="K65" s="1"/>
      <c r="L65" s="1"/>
    </row>
    <row r="66" spans="1:12" ht="13.8" x14ac:dyDescent="0.25">
      <c r="A66" s="68">
        <f>DATE(2026,59,1)</f>
        <v>47788</v>
      </c>
      <c r="B66" s="65">
        <f t="shared" si="10"/>
        <v>950</v>
      </c>
      <c r="C66" s="65">
        <f t="shared" si="11"/>
        <v>705</v>
      </c>
      <c r="D66" s="65">
        <f t="shared" si="12"/>
        <v>0</v>
      </c>
      <c r="E66" s="65">
        <f t="shared" si="13"/>
        <v>1655</v>
      </c>
      <c r="F66" s="65">
        <f t="shared" si="14"/>
        <v>0</v>
      </c>
      <c r="G66" s="65">
        <f t="shared" si="15"/>
        <v>0</v>
      </c>
      <c r="H66" s="65">
        <f t="shared" si="16"/>
        <v>-1655</v>
      </c>
      <c r="I66" s="65">
        <f t="shared" si="17"/>
        <v>33100</v>
      </c>
      <c r="J66" s="1"/>
      <c r="K66" s="1"/>
      <c r="L66" s="1"/>
    </row>
    <row r="67" spans="1:12" ht="13.8" x14ac:dyDescent="0.25">
      <c r="A67" s="67">
        <f>DATE(2026,60,1)</f>
        <v>47818</v>
      </c>
      <c r="B67" s="64">
        <f t="shared" si="10"/>
        <v>950</v>
      </c>
      <c r="C67" s="64">
        <f t="shared" si="11"/>
        <v>705</v>
      </c>
      <c r="D67" s="64">
        <f t="shared" si="12"/>
        <v>0</v>
      </c>
      <c r="E67" s="64">
        <f t="shared" si="13"/>
        <v>1655</v>
      </c>
      <c r="F67" s="64">
        <f t="shared" si="14"/>
        <v>0</v>
      </c>
      <c r="G67" s="64">
        <f t="shared" si="15"/>
        <v>0</v>
      </c>
      <c r="H67" s="64">
        <f t="shared" si="16"/>
        <v>-1655</v>
      </c>
      <c r="I67" s="64">
        <f t="shared" si="17"/>
        <v>31445</v>
      </c>
      <c r="J67" s="1"/>
      <c r="K67" s="1"/>
      <c r="L67" s="1"/>
    </row>
    <row r="68" spans="1:12" ht="13.8" x14ac:dyDescent="0.25">
      <c r="A68" s="68">
        <f>DATE(2026,61,1)</f>
        <v>47849</v>
      </c>
      <c r="B68" s="65">
        <f t="shared" si="10"/>
        <v>950</v>
      </c>
      <c r="C68" s="65">
        <f t="shared" si="11"/>
        <v>705</v>
      </c>
      <c r="D68" s="65">
        <f t="shared" si="12"/>
        <v>0</v>
      </c>
      <c r="E68" s="65">
        <f t="shared" si="13"/>
        <v>1655</v>
      </c>
      <c r="F68" s="65">
        <f t="shared" si="14"/>
        <v>0</v>
      </c>
      <c r="G68" s="65">
        <f t="shared" si="15"/>
        <v>0</v>
      </c>
      <c r="H68" s="65">
        <f t="shared" si="16"/>
        <v>-1655</v>
      </c>
      <c r="I68" s="65">
        <f t="shared" si="17"/>
        <v>29790</v>
      </c>
      <c r="J68" s="1"/>
      <c r="K68" s="1"/>
      <c r="L68" s="1"/>
    </row>
    <row r="69" spans="1:12" ht="13.8" x14ac:dyDescent="0.25">
      <c r="A69" s="67">
        <f>DATE(2026,62,1)</f>
        <v>47880</v>
      </c>
      <c r="B69" s="64">
        <f t="shared" si="10"/>
        <v>950</v>
      </c>
      <c r="C69" s="64">
        <f t="shared" si="11"/>
        <v>705</v>
      </c>
      <c r="D69" s="64">
        <f t="shared" si="12"/>
        <v>0</v>
      </c>
      <c r="E69" s="64">
        <f t="shared" si="13"/>
        <v>1655</v>
      </c>
      <c r="F69" s="64">
        <f t="shared" si="14"/>
        <v>0</v>
      </c>
      <c r="G69" s="64">
        <f t="shared" si="15"/>
        <v>0</v>
      </c>
      <c r="H69" s="64">
        <f t="shared" si="16"/>
        <v>-1655</v>
      </c>
      <c r="I69" s="64">
        <f t="shared" si="17"/>
        <v>28135</v>
      </c>
      <c r="J69" s="1"/>
      <c r="K69" s="1"/>
      <c r="L69" s="1"/>
    </row>
    <row r="70" spans="1:12" ht="13.8" x14ac:dyDescent="0.25">
      <c r="A70" s="68">
        <f>DATE(2026,63,1)</f>
        <v>47908</v>
      </c>
      <c r="B70" s="65">
        <f t="shared" si="10"/>
        <v>950</v>
      </c>
      <c r="C70" s="65">
        <f t="shared" si="11"/>
        <v>705</v>
      </c>
      <c r="D70" s="65">
        <f t="shared" si="12"/>
        <v>0</v>
      </c>
      <c r="E70" s="65">
        <f t="shared" si="13"/>
        <v>1655</v>
      </c>
      <c r="F70" s="65">
        <f t="shared" si="14"/>
        <v>0</v>
      </c>
      <c r="G70" s="65">
        <f t="shared" si="15"/>
        <v>0</v>
      </c>
      <c r="H70" s="65">
        <f t="shared" si="16"/>
        <v>-1655</v>
      </c>
      <c r="I70" s="65">
        <f t="shared" si="17"/>
        <v>26480</v>
      </c>
      <c r="J70" s="1"/>
      <c r="K70" s="1"/>
      <c r="L70" s="1"/>
    </row>
    <row r="71" spans="1:12" ht="13.8" x14ac:dyDescent="0.25">
      <c r="A71" s="67">
        <f>DATE(2026,64,1)</f>
        <v>47939</v>
      </c>
      <c r="B71" s="64">
        <f t="shared" si="10"/>
        <v>950</v>
      </c>
      <c r="C71" s="64">
        <f t="shared" si="11"/>
        <v>705</v>
      </c>
      <c r="D71" s="64">
        <f t="shared" si="12"/>
        <v>0</v>
      </c>
      <c r="E71" s="64">
        <f t="shared" si="13"/>
        <v>1655</v>
      </c>
      <c r="F71" s="64">
        <f t="shared" si="14"/>
        <v>0</v>
      </c>
      <c r="G71" s="64">
        <f t="shared" si="15"/>
        <v>0</v>
      </c>
      <c r="H71" s="64">
        <f t="shared" si="16"/>
        <v>-1655</v>
      </c>
      <c r="I71" s="64">
        <f t="shared" si="17"/>
        <v>24825</v>
      </c>
      <c r="J71" s="1"/>
      <c r="K71" s="1"/>
      <c r="L71" s="1"/>
    </row>
    <row r="72" spans="1:12" ht="13.8" x14ac:dyDescent="0.25">
      <c r="A72" s="68">
        <f>DATE(2026,65,1)</f>
        <v>47969</v>
      </c>
      <c r="B72" s="65">
        <f t="shared" si="10"/>
        <v>950</v>
      </c>
      <c r="C72" s="65">
        <f t="shared" si="11"/>
        <v>705</v>
      </c>
      <c r="D72" s="65">
        <f t="shared" si="12"/>
        <v>0</v>
      </c>
      <c r="E72" s="65">
        <f t="shared" si="13"/>
        <v>1655</v>
      </c>
      <c r="F72" s="65">
        <f t="shared" si="14"/>
        <v>0</v>
      </c>
      <c r="G72" s="65">
        <f t="shared" si="15"/>
        <v>0</v>
      </c>
      <c r="H72" s="65">
        <f t="shared" si="16"/>
        <v>-1655</v>
      </c>
      <c r="I72" s="65">
        <f t="shared" si="17"/>
        <v>23170</v>
      </c>
      <c r="J72" s="1"/>
      <c r="K72" s="1"/>
      <c r="L72" s="1"/>
    </row>
    <row r="73" spans="1:12" ht="13.8" x14ac:dyDescent="0.25">
      <c r="A73" s="67">
        <f>DATE(2026,66,1)</f>
        <v>48000</v>
      </c>
      <c r="B73" s="64">
        <f t="shared" si="10"/>
        <v>950</v>
      </c>
      <c r="C73" s="64">
        <f t="shared" si="11"/>
        <v>705</v>
      </c>
      <c r="D73" s="64">
        <f t="shared" si="12"/>
        <v>0</v>
      </c>
      <c r="E73" s="64">
        <f t="shared" si="13"/>
        <v>1655</v>
      </c>
      <c r="F73" s="64">
        <f t="shared" si="14"/>
        <v>0</v>
      </c>
      <c r="G73" s="64">
        <f t="shared" si="15"/>
        <v>0</v>
      </c>
      <c r="H73" s="64">
        <f t="shared" si="16"/>
        <v>-1655</v>
      </c>
      <c r="I73" s="64">
        <f t="shared" si="17"/>
        <v>21515</v>
      </c>
      <c r="J73" s="1"/>
      <c r="K73" s="1"/>
      <c r="L73" s="1"/>
    </row>
    <row r="74" spans="1:12" ht="13.8" x14ac:dyDescent="0.25">
      <c r="A74" s="68">
        <f>DATE(2026,67,1)</f>
        <v>48030</v>
      </c>
      <c r="B74" s="65">
        <f t="shared" si="10"/>
        <v>950</v>
      </c>
      <c r="C74" s="65">
        <f t="shared" si="11"/>
        <v>705</v>
      </c>
      <c r="D74" s="65">
        <f t="shared" si="12"/>
        <v>0</v>
      </c>
      <c r="E74" s="65">
        <f t="shared" si="13"/>
        <v>1655</v>
      </c>
      <c r="F74" s="65">
        <f t="shared" si="14"/>
        <v>0</v>
      </c>
      <c r="G74" s="65">
        <f t="shared" si="15"/>
        <v>0</v>
      </c>
      <c r="H74" s="65">
        <f t="shared" si="16"/>
        <v>-1655</v>
      </c>
      <c r="I74" s="65">
        <f t="shared" si="17"/>
        <v>19860</v>
      </c>
      <c r="J74" s="1"/>
      <c r="K74" s="1"/>
      <c r="L74" s="1"/>
    </row>
    <row r="75" spans="1:12" ht="13.8" x14ac:dyDescent="0.25">
      <c r="A75" s="67">
        <f>DATE(2026,68,1)</f>
        <v>48061</v>
      </c>
      <c r="B75" s="64">
        <f t="shared" si="10"/>
        <v>950</v>
      </c>
      <c r="C75" s="64">
        <f t="shared" si="11"/>
        <v>705</v>
      </c>
      <c r="D75" s="64">
        <f t="shared" si="12"/>
        <v>0</v>
      </c>
      <c r="E75" s="64">
        <f t="shared" si="13"/>
        <v>1655</v>
      </c>
      <c r="F75" s="64">
        <f t="shared" si="14"/>
        <v>0</v>
      </c>
      <c r="G75" s="64">
        <f t="shared" si="15"/>
        <v>0</v>
      </c>
      <c r="H75" s="64">
        <f t="shared" si="16"/>
        <v>-1655</v>
      </c>
      <c r="I75" s="64">
        <f t="shared" si="17"/>
        <v>18205</v>
      </c>
      <c r="J75" s="1"/>
      <c r="K75" s="1"/>
      <c r="L75" s="1"/>
    </row>
    <row r="76" spans="1:12" ht="13.8" x14ac:dyDescent="0.25">
      <c r="A76" s="68">
        <f>DATE(2026,69,1)</f>
        <v>48092</v>
      </c>
      <c r="B76" s="65">
        <f t="shared" si="10"/>
        <v>950</v>
      </c>
      <c r="C76" s="65">
        <f t="shared" si="11"/>
        <v>705</v>
      </c>
      <c r="D76" s="65">
        <f t="shared" si="12"/>
        <v>0</v>
      </c>
      <c r="E76" s="65">
        <f t="shared" si="13"/>
        <v>1655</v>
      </c>
      <c r="F76" s="65">
        <f t="shared" si="14"/>
        <v>0</v>
      </c>
      <c r="G76" s="65">
        <f t="shared" si="15"/>
        <v>0</v>
      </c>
      <c r="H76" s="65">
        <f t="shared" si="16"/>
        <v>-1655</v>
      </c>
      <c r="I76" s="65">
        <f t="shared" si="17"/>
        <v>16550</v>
      </c>
      <c r="J76" s="1"/>
      <c r="K76" s="1"/>
      <c r="L76" s="1"/>
    </row>
    <row r="77" spans="1:12" ht="13.8" x14ac:dyDescent="0.25">
      <c r="A77" s="67">
        <f>DATE(2026,70,1)</f>
        <v>48122</v>
      </c>
      <c r="B77" s="64">
        <f t="shared" si="10"/>
        <v>950</v>
      </c>
      <c r="C77" s="64">
        <f t="shared" si="11"/>
        <v>705</v>
      </c>
      <c r="D77" s="64">
        <f t="shared" si="12"/>
        <v>0</v>
      </c>
      <c r="E77" s="64">
        <f t="shared" si="13"/>
        <v>1655</v>
      </c>
      <c r="F77" s="64">
        <f t="shared" si="14"/>
        <v>0</v>
      </c>
      <c r="G77" s="64">
        <f t="shared" si="15"/>
        <v>0</v>
      </c>
      <c r="H77" s="64">
        <f t="shared" si="16"/>
        <v>-1655</v>
      </c>
      <c r="I77" s="64">
        <f t="shared" si="17"/>
        <v>14895</v>
      </c>
      <c r="J77" s="1"/>
      <c r="K77" s="1"/>
      <c r="L77" s="1"/>
    </row>
    <row r="78" spans="1:12" ht="13.8" x14ac:dyDescent="0.25">
      <c r="A78" s="68">
        <f>DATE(2026,71,1)</f>
        <v>48153</v>
      </c>
      <c r="B78" s="65">
        <f t="shared" si="10"/>
        <v>950</v>
      </c>
      <c r="C78" s="65">
        <f t="shared" si="11"/>
        <v>705</v>
      </c>
      <c r="D78" s="65">
        <f t="shared" si="12"/>
        <v>0</v>
      </c>
      <c r="E78" s="65">
        <f t="shared" si="13"/>
        <v>1655</v>
      </c>
      <c r="F78" s="65">
        <f t="shared" si="14"/>
        <v>0</v>
      </c>
      <c r="G78" s="65">
        <f t="shared" si="15"/>
        <v>0</v>
      </c>
      <c r="H78" s="65">
        <f t="shared" si="16"/>
        <v>-1655</v>
      </c>
      <c r="I78" s="65">
        <f t="shared" si="17"/>
        <v>13240</v>
      </c>
      <c r="J78" s="1"/>
      <c r="K78" s="1"/>
      <c r="L78" s="1"/>
    </row>
    <row r="79" spans="1:12" ht="13.8" x14ac:dyDescent="0.25">
      <c r="A79" s="67">
        <f>DATE(2026,72,1)</f>
        <v>48183</v>
      </c>
      <c r="B79" s="64">
        <f t="shared" ref="B79:B86" si="18">IF(ROW()-14&lt;=$D$8,$E$8,0)</f>
        <v>950</v>
      </c>
      <c r="C79" s="64">
        <f t="shared" ref="C79:C86" si="19">IF(ROW()-14&lt;=$D$9,$E$9,0)</f>
        <v>705</v>
      </c>
      <c r="D79" s="64">
        <f t="shared" ref="D79:D86" si="20">IF(ROW()-14&lt;=$D$10,$E$10,0)</f>
        <v>0</v>
      </c>
      <c r="E79" s="64">
        <f t="shared" ref="E79:E110" si="21">SUM(B79:D79)</f>
        <v>1655</v>
      </c>
      <c r="F79" s="64">
        <f t="shared" ref="F79:F86" si="22">$L$7</f>
        <v>0</v>
      </c>
      <c r="G79" s="64">
        <f t="shared" ref="G79:G86" si="23">$L$8</f>
        <v>0</v>
      </c>
      <c r="H79" s="64">
        <f t="shared" ref="H79:H110" si="24">F79-G79-E79</f>
        <v>-1655</v>
      </c>
      <c r="I79" s="64">
        <f t="shared" ref="I79:I86" si="25">MAX(0,($D$8-(ROW()-14))*$E$8)+MAX(0,($D$9-(ROW()-14))*$E$9)+MAX(0,($D$10-(ROW()-14))*$E$10)</f>
        <v>11585</v>
      </c>
      <c r="J79" s="1"/>
      <c r="K79" s="1"/>
      <c r="L79" s="1"/>
    </row>
    <row r="80" spans="1:12" ht="13.8" x14ac:dyDescent="0.25">
      <c r="A80" s="68">
        <f>DATE(2026,73,1)</f>
        <v>48214</v>
      </c>
      <c r="B80" s="65">
        <f t="shared" si="18"/>
        <v>950</v>
      </c>
      <c r="C80" s="65">
        <f t="shared" si="19"/>
        <v>705</v>
      </c>
      <c r="D80" s="65">
        <f t="shared" si="20"/>
        <v>0</v>
      </c>
      <c r="E80" s="65">
        <f t="shared" si="21"/>
        <v>1655</v>
      </c>
      <c r="F80" s="65">
        <f t="shared" si="22"/>
        <v>0</v>
      </c>
      <c r="G80" s="65">
        <f t="shared" si="23"/>
        <v>0</v>
      </c>
      <c r="H80" s="65">
        <f t="shared" si="24"/>
        <v>-1655</v>
      </c>
      <c r="I80" s="65">
        <f t="shared" si="25"/>
        <v>9930</v>
      </c>
      <c r="J80" s="1"/>
      <c r="K80" s="1"/>
      <c r="L80" s="1"/>
    </row>
    <row r="81" spans="1:12" ht="13.8" x14ac:dyDescent="0.25">
      <c r="A81" s="67">
        <f>DATE(2026,74,1)</f>
        <v>48245</v>
      </c>
      <c r="B81" s="64">
        <f t="shared" si="18"/>
        <v>950</v>
      </c>
      <c r="C81" s="64">
        <f t="shared" si="19"/>
        <v>705</v>
      </c>
      <c r="D81" s="64">
        <f t="shared" si="20"/>
        <v>0</v>
      </c>
      <c r="E81" s="64">
        <f t="shared" si="21"/>
        <v>1655</v>
      </c>
      <c r="F81" s="64">
        <f t="shared" si="22"/>
        <v>0</v>
      </c>
      <c r="G81" s="64">
        <f t="shared" si="23"/>
        <v>0</v>
      </c>
      <c r="H81" s="64">
        <f t="shared" si="24"/>
        <v>-1655</v>
      </c>
      <c r="I81" s="64">
        <f t="shared" si="25"/>
        <v>8275</v>
      </c>
      <c r="J81" s="1"/>
      <c r="K81" s="1"/>
      <c r="L81" s="1"/>
    </row>
    <row r="82" spans="1:12" ht="13.8" x14ac:dyDescent="0.25">
      <c r="A82" s="68">
        <f>DATE(2026,75,1)</f>
        <v>48274</v>
      </c>
      <c r="B82" s="65">
        <f t="shared" si="18"/>
        <v>950</v>
      </c>
      <c r="C82" s="65">
        <f t="shared" si="19"/>
        <v>705</v>
      </c>
      <c r="D82" s="65">
        <f t="shared" si="20"/>
        <v>0</v>
      </c>
      <c r="E82" s="65">
        <f t="shared" si="21"/>
        <v>1655</v>
      </c>
      <c r="F82" s="65">
        <f t="shared" si="22"/>
        <v>0</v>
      </c>
      <c r="G82" s="65">
        <f t="shared" si="23"/>
        <v>0</v>
      </c>
      <c r="H82" s="65">
        <f t="shared" si="24"/>
        <v>-1655</v>
      </c>
      <c r="I82" s="65">
        <f t="shared" si="25"/>
        <v>6620</v>
      </c>
      <c r="J82" s="1"/>
      <c r="K82" s="1"/>
      <c r="L82" s="1"/>
    </row>
    <row r="83" spans="1:12" ht="13.8" x14ac:dyDescent="0.25">
      <c r="A83" s="67">
        <f>DATE(2026,76,1)</f>
        <v>48305</v>
      </c>
      <c r="B83" s="64">
        <f t="shared" si="18"/>
        <v>950</v>
      </c>
      <c r="C83" s="64">
        <f t="shared" si="19"/>
        <v>705</v>
      </c>
      <c r="D83" s="64">
        <f t="shared" si="20"/>
        <v>0</v>
      </c>
      <c r="E83" s="64">
        <f t="shared" si="21"/>
        <v>1655</v>
      </c>
      <c r="F83" s="64">
        <f t="shared" si="22"/>
        <v>0</v>
      </c>
      <c r="G83" s="64">
        <f t="shared" si="23"/>
        <v>0</v>
      </c>
      <c r="H83" s="64">
        <f t="shared" si="24"/>
        <v>-1655</v>
      </c>
      <c r="I83" s="64">
        <f t="shared" si="25"/>
        <v>4965</v>
      </c>
      <c r="J83" s="1"/>
      <c r="K83" s="1"/>
      <c r="L83" s="1"/>
    </row>
    <row r="84" spans="1:12" ht="13.8" x14ac:dyDescent="0.25">
      <c r="A84" s="68">
        <f>DATE(2026,77,1)</f>
        <v>48335</v>
      </c>
      <c r="B84" s="65">
        <f t="shared" si="18"/>
        <v>950</v>
      </c>
      <c r="C84" s="65">
        <f t="shared" si="19"/>
        <v>705</v>
      </c>
      <c r="D84" s="65">
        <f t="shared" si="20"/>
        <v>0</v>
      </c>
      <c r="E84" s="65">
        <f t="shared" si="21"/>
        <v>1655</v>
      </c>
      <c r="F84" s="65">
        <f t="shared" si="22"/>
        <v>0</v>
      </c>
      <c r="G84" s="65">
        <f t="shared" si="23"/>
        <v>0</v>
      </c>
      <c r="H84" s="65">
        <f t="shared" si="24"/>
        <v>-1655</v>
      </c>
      <c r="I84" s="65">
        <f t="shared" si="25"/>
        <v>3310</v>
      </c>
      <c r="J84" s="1"/>
      <c r="K84" s="1"/>
      <c r="L84" s="1"/>
    </row>
    <row r="85" spans="1:12" ht="13.8" x14ac:dyDescent="0.25">
      <c r="A85" s="67">
        <f>DATE(2026,78,1)</f>
        <v>48366</v>
      </c>
      <c r="B85" s="64">
        <f t="shared" si="18"/>
        <v>950</v>
      </c>
      <c r="C85" s="64">
        <f t="shared" si="19"/>
        <v>705</v>
      </c>
      <c r="D85" s="64">
        <f t="shared" si="20"/>
        <v>0</v>
      </c>
      <c r="E85" s="64">
        <f t="shared" si="21"/>
        <v>1655</v>
      </c>
      <c r="F85" s="64">
        <f t="shared" si="22"/>
        <v>0</v>
      </c>
      <c r="G85" s="64">
        <f t="shared" si="23"/>
        <v>0</v>
      </c>
      <c r="H85" s="64">
        <f t="shared" si="24"/>
        <v>-1655</v>
      </c>
      <c r="I85" s="64">
        <f t="shared" si="25"/>
        <v>1655</v>
      </c>
      <c r="J85" s="1"/>
      <c r="K85" s="1"/>
      <c r="L85" s="1"/>
    </row>
    <row r="86" spans="1:12" ht="13.8" x14ac:dyDescent="0.25">
      <c r="A86" s="68">
        <f>DATE(2026,79,1)</f>
        <v>48396</v>
      </c>
      <c r="B86" s="65">
        <f t="shared" si="18"/>
        <v>950</v>
      </c>
      <c r="C86" s="65">
        <f t="shared" si="19"/>
        <v>705</v>
      </c>
      <c r="D86" s="65">
        <f t="shared" si="20"/>
        <v>0</v>
      </c>
      <c r="E86" s="65">
        <f t="shared" si="21"/>
        <v>1655</v>
      </c>
      <c r="F86" s="65">
        <f t="shared" si="22"/>
        <v>0</v>
      </c>
      <c r="G86" s="65">
        <f t="shared" si="23"/>
        <v>0</v>
      </c>
      <c r="H86" s="65">
        <f t="shared" si="24"/>
        <v>-1655</v>
      </c>
      <c r="I86" s="65">
        <f t="shared" si="25"/>
        <v>0</v>
      </c>
      <c r="J86" s="1"/>
      <c r="K86" s="1"/>
      <c r="L86" s="1"/>
    </row>
    <row r="87" spans="1:12" ht="13.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31.95" customHeight="1" x14ac:dyDescent="0.25">
      <c r="A88" s="69" t="s">
        <v>58</v>
      </c>
      <c r="B88" s="69"/>
      <c r="C88" s="69"/>
      <c r="D88" s="69"/>
      <c r="E88" s="69"/>
      <c r="F88" s="69"/>
      <c r="G88" s="69"/>
      <c r="H88" s="69"/>
      <c r="I88" s="69"/>
      <c r="J88" s="1"/>
      <c r="K88" s="1"/>
      <c r="L88" s="1"/>
    </row>
  </sheetData>
  <mergeCells count="10">
    <mergeCell ref="I10:K10"/>
    <mergeCell ref="I11:L11"/>
    <mergeCell ref="A13:I13"/>
    <mergeCell ref="A88:I88"/>
    <mergeCell ref="A1:L1"/>
    <mergeCell ref="A6:G6"/>
    <mergeCell ref="I6:L6"/>
    <mergeCell ref="I7:K7"/>
    <mergeCell ref="I8:K8"/>
    <mergeCell ref="I9:K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showGridLines="0" workbookViewId="0">
      <pane ySplit="6" topLeftCell="A7" activePane="bottomLeft" state="frozenSplit"/>
      <selection pane="bottomLeft" sqref="A1:F1"/>
    </sheetView>
  </sheetViews>
  <sheetFormatPr defaultColWidth="12.6640625" defaultRowHeight="15.75" customHeight="1" x14ac:dyDescent="0.25"/>
  <cols>
    <col min="1" max="1" width="13.77734375" customWidth="1"/>
    <col min="2" max="2" width="10.77734375" customWidth="1"/>
    <col min="3" max="3" width="28.77734375" customWidth="1"/>
    <col min="4" max="4" width="15.77734375" customWidth="1"/>
    <col min="5" max="5" width="13.77734375" customWidth="1"/>
    <col min="6" max="6" width="30.77734375" customWidth="1"/>
  </cols>
  <sheetData>
    <row r="1" spans="1:6" ht="28.05" customHeight="1" x14ac:dyDescent="0.25">
      <c r="A1" s="5" t="s">
        <v>1</v>
      </c>
      <c r="B1" s="5"/>
      <c r="C1" s="5"/>
      <c r="D1" s="5"/>
      <c r="E1" s="5"/>
      <c r="F1" s="5"/>
    </row>
    <row r="2" spans="1:6" ht="9" customHeight="1" x14ac:dyDescent="0.25">
      <c r="A2" s="4"/>
      <c r="B2" s="4"/>
      <c r="C2" s="4"/>
      <c r="D2" s="4"/>
      <c r="E2" s="4"/>
      <c r="F2" s="4"/>
    </row>
    <row r="3" spans="1:6" ht="26.25" customHeight="1" x14ac:dyDescent="0.25">
      <c r="A3" s="6" t="s">
        <v>2</v>
      </c>
      <c r="B3" s="8"/>
      <c r="C3" s="7" t="s">
        <v>4</v>
      </c>
      <c r="D3" s="6" t="s">
        <v>5</v>
      </c>
      <c r="E3" s="8"/>
      <c r="F3" s="7" t="s">
        <v>7</v>
      </c>
    </row>
    <row r="4" spans="1:6" ht="26.25" customHeight="1" x14ac:dyDescent="0.25">
      <c r="A4" s="9">
        <v>175000</v>
      </c>
      <c r="B4" s="11"/>
      <c r="C4" s="10">
        <v>180000</v>
      </c>
      <c r="D4" s="9">
        <f>SUMIFS(D7:D20, E7:E20, "Pago")</f>
        <v>181000</v>
      </c>
      <c r="E4" s="11"/>
      <c r="F4" s="10">
        <f>C4-D4</f>
        <v>-1000</v>
      </c>
    </row>
    <row r="5" spans="1:6" ht="20.25" customHeight="1" x14ac:dyDescent="0.25">
      <c r="A5" s="13" t="str">
        <f>IF(F4&lt;=34000, "⚠️ Avisar o David", "")</f>
        <v>⚠️ Avisar o David</v>
      </c>
      <c r="B5" s="12"/>
      <c r="C5" s="12"/>
      <c r="D5" s="12"/>
      <c r="E5" s="12"/>
      <c r="F5" s="12"/>
    </row>
    <row r="6" spans="1:6" ht="22.05" customHeight="1" x14ac:dyDescent="0.25">
      <c r="A6" s="18" t="s">
        <v>9</v>
      </c>
      <c r="B6" s="16" t="s">
        <v>13</v>
      </c>
      <c r="C6" s="16" t="s">
        <v>10</v>
      </c>
      <c r="D6" s="16" t="s">
        <v>12</v>
      </c>
      <c r="E6" s="16" t="s">
        <v>14</v>
      </c>
      <c r="F6" s="24" t="s">
        <v>17</v>
      </c>
    </row>
    <row r="7" spans="1:6" ht="26.25" customHeight="1" x14ac:dyDescent="0.25">
      <c r="A7" s="19">
        <v>46244</v>
      </c>
      <c r="B7" s="14">
        <v>1</v>
      </c>
      <c r="C7" s="29" t="s">
        <v>19</v>
      </c>
      <c r="D7" s="25">
        <f>A4*20%</f>
        <v>35000</v>
      </c>
      <c r="E7" s="28" t="s">
        <v>21</v>
      </c>
      <c r="F7" s="32"/>
    </row>
    <row r="8" spans="1:6" ht="26.25" customHeight="1" x14ac:dyDescent="0.25">
      <c r="A8" s="20">
        <v>46275</v>
      </c>
      <c r="B8" s="15"/>
      <c r="C8" s="30" t="s">
        <v>25</v>
      </c>
      <c r="D8" s="26">
        <f>A4*12%</f>
        <v>21000</v>
      </c>
      <c r="E8" s="28" t="s">
        <v>21</v>
      </c>
      <c r="F8" s="33"/>
    </row>
    <row r="9" spans="1:6" ht="26.25" customHeight="1" x14ac:dyDescent="0.25">
      <c r="A9" s="19">
        <v>46305</v>
      </c>
      <c r="B9" s="14"/>
      <c r="C9" s="29" t="s">
        <v>25</v>
      </c>
      <c r="D9" s="25">
        <f>A4*12%</f>
        <v>21000</v>
      </c>
      <c r="E9" s="28" t="s">
        <v>21</v>
      </c>
      <c r="F9" s="32"/>
    </row>
    <row r="10" spans="1:6" ht="26.25" customHeight="1" x14ac:dyDescent="0.25">
      <c r="A10" s="20">
        <v>46336</v>
      </c>
      <c r="B10" s="15"/>
      <c r="C10" s="30" t="s">
        <v>25</v>
      </c>
      <c r="D10" s="26">
        <f>A4*12%</f>
        <v>21000</v>
      </c>
      <c r="E10" s="28" t="s">
        <v>21</v>
      </c>
      <c r="F10" s="33"/>
    </row>
    <row r="11" spans="1:6" ht="26.25" customHeight="1" x14ac:dyDescent="0.25">
      <c r="A11" s="19">
        <v>46366</v>
      </c>
      <c r="B11" s="14"/>
      <c r="C11" s="29" t="s">
        <v>25</v>
      </c>
      <c r="D11" s="25">
        <f>A4*12%</f>
        <v>21000</v>
      </c>
      <c r="E11" s="28" t="s">
        <v>21</v>
      </c>
      <c r="F11" s="32"/>
    </row>
    <row r="12" spans="1:6" ht="26.25" customHeight="1" x14ac:dyDescent="0.25">
      <c r="A12" s="20">
        <v>46397</v>
      </c>
      <c r="B12" s="15"/>
      <c r="C12" s="30" t="s">
        <v>25</v>
      </c>
      <c r="D12" s="26">
        <f>A4*12%</f>
        <v>21000</v>
      </c>
      <c r="E12" s="28" t="s">
        <v>21</v>
      </c>
      <c r="F12" s="33"/>
    </row>
    <row r="13" spans="1:6" ht="26.25" customHeight="1" x14ac:dyDescent="0.25">
      <c r="A13" s="19">
        <v>46428</v>
      </c>
      <c r="B13" s="14"/>
      <c r="C13" s="29"/>
      <c r="D13" s="25">
        <v>5000</v>
      </c>
      <c r="E13" s="28" t="s">
        <v>21</v>
      </c>
      <c r="F13" s="32"/>
    </row>
    <row r="14" spans="1:6" ht="26.25" customHeight="1" x14ac:dyDescent="0.25">
      <c r="A14" s="20">
        <v>46456</v>
      </c>
      <c r="B14" s="15"/>
      <c r="C14" s="30" t="s">
        <v>26</v>
      </c>
      <c r="D14" s="26">
        <v>36000</v>
      </c>
      <c r="E14" s="28" t="s">
        <v>21</v>
      </c>
      <c r="F14" s="33"/>
    </row>
    <row r="15" spans="1:6" ht="26.25" customHeight="1" x14ac:dyDescent="0.25">
      <c r="A15" s="21"/>
      <c r="B15" s="14"/>
      <c r="C15" s="29"/>
      <c r="D15" s="25"/>
      <c r="E15" s="14"/>
      <c r="F15" s="32"/>
    </row>
    <row r="16" spans="1:6" ht="26.25" customHeight="1" x14ac:dyDescent="0.25">
      <c r="A16" s="22"/>
      <c r="B16" s="15"/>
      <c r="C16" s="30"/>
      <c r="D16" s="26"/>
      <c r="E16" s="15"/>
      <c r="F16" s="33"/>
    </row>
    <row r="17" spans="1:6" ht="26.25" customHeight="1" x14ac:dyDescent="0.25">
      <c r="A17" s="21"/>
      <c r="B17" s="14"/>
      <c r="C17" s="29"/>
      <c r="D17" s="25"/>
      <c r="E17" s="14"/>
      <c r="F17" s="32"/>
    </row>
    <row r="18" spans="1:6" ht="26.25" customHeight="1" x14ac:dyDescent="0.25">
      <c r="A18" s="22"/>
      <c r="B18" s="15"/>
      <c r="C18" s="30"/>
      <c r="D18" s="26"/>
      <c r="E18" s="15"/>
      <c r="F18" s="33"/>
    </row>
    <row r="19" spans="1:6" ht="26.25" customHeight="1" x14ac:dyDescent="0.25">
      <c r="A19" s="21"/>
      <c r="B19" s="14"/>
      <c r="C19" s="29"/>
      <c r="D19" s="25"/>
      <c r="E19" s="14"/>
      <c r="F19" s="32"/>
    </row>
    <row r="20" spans="1:6" ht="26.25" customHeight="1" x14ac:dyDescent="0.25">
      <c r="A20" s="23"/>
      <c r="B20" s="17"/>
      <c r="C20" s="31"/>
      <c r="D20" s="27"/>
      <c r="E20" s="17"/>
      <c r="F20" s="34"/>
    </row>
  </sheetData>
  <mergeCells count="6">
    <mergeCell ref="A5:F5"/>
    <mergeCell ref="A1:F1"/>
    <mergeCell ref="A3:B3"/>
    <mergeCell ref="D3:E3"/>
    <mergeCell ref="A4:B4"/>
    <mergeCell ref="D4:E4"/>
  </mergeCells>
  <dataValidations count="1">
    <dataValidation type="list" allowBlank="1" showErrorMessage="1" sqref="E7:E20" xr:uid="{00000000-0002-0000-0000-000000000000}">
      <formula1>"Pago,Pendente"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0"/>
  <sheetViews>
    <sheetView showGridLines="0" workbookViewId="0">
      <pane ySplit="6" topLeftCell="A7" activePane="bottomLeft" state="frozenSplit"/>
      <selection pane="bottomLeft" sqref="A1:H1"/>
    </sheetView>
  </sheetViews>
  <sheetFormatPr defaultColWidth="12.6640625" defaultRowHeight="15.75" customHeight="1" x14ac:dyDescent="0.25"/>
  <cols>
    <col min="1" max="1" width="13.77734375" customWidth="1"/>
    <col min="2" max="2" width="31.77734375" customWidth="1"/>
    <col min="3" max="3" width="16.77734375" customWidth="1"/>
    <col min="4" max="4" width="14.77734375" customWidth="1"/>
    <col min="5" max="5" width="13.77734375" customWidth="1"/>
    <col min="6" max="6" width="19.77734375" customWidth="1"/>
    <col min="7" max="7" width="20.77734375" customWidth="1"/>
    <col min="8" max="8" width="42.77734375" customWidth="1"/>
  </cols>
  <sheetData>
    <row r="1" spans="1:8" ht="28.05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ht="13.8" x14ac:dyDescent="0.25">
      <c r="A2" s="4"/>
      <c r="B2" s="4"/>
      <c r="C2" s="4"/>
      <c r="D2" s="4"/>
      <c r="E2" s="4"/>
      <c r="F2" s="4"/>
      <c r="G2" s="4"/>
      <c r="H2" s="4"/>
    </row>
    <row r="3" spans="1:8" ht="15.75" customHeight="1" x14ac:dyDescent="0.25">
      <c r="A3" s="35" t="s">
        <v>3</v>
      </c>
      <c r="B3" s="36"/>
      <c r="C3" s="35" t="s">
        <v>6</v>
      </c>
      <c r="D3" s="36"/>
      <c r="E3" s="35" t="s">
        <v>8</v>
      </c>
      <c r="F3" s="37"/>
      <c r="G3" s="37"/>
      <c r="H3" s="36"/>
    </row>
    <row r="4" spans="1:8" ht="15.75" customHeight="1" x14ac:dyDescent="0.25">
      <c r="A4" s="38">
        <f>SUM(D7:D50)</f>
        <v>26</v>
      </c>
      <c r="B4" s="39"/>
      <c r="C4" s="38">
        <f>SUMIFS(D7:D50, E7:E50, "Pago")</f>
        <v>26</v>
      </c>
      <c r="D4" s="39"/>
      <c r="E4" s="38">
        <f>SUMIFS(D7:D50, E7:E50, "Pendente")</f>
        <v>0</v>
      </c>
      <c r="F4" s="40"/>
      <c r="G4" s="40"/>
      <c r="H4" s="39"/>
    </row>
    <row r="5" spans="1:8" ht="13.8" x14ac:dyDescent="0.25">
      <c r="A5" s="4"/>
      <c r="B5" s="4"/>
      <c r="C5" s="4"/>
      <c r="D5" s="4"/>
      <c r="E5" s="4"/>
      <c r="F5" s="4"/>
      <c r="G5" s="4"/>
      <c r="H5" s="4"/>
    </row>
    <row r="6" spans="1:8" ht="22.05" customHeight="1" x14ac:dyDescent="0.25">
      <c r="A6" s="41" t="s">
        <v>9</v>
      </c>
      <c r="B6" s="41" t="s">
        <v>10</v>
      </c>
      <c r="C6" s="41" t="s">
        <v>11</v>
      </c>
      <c r="D6" s="41" t="s">
        <v>12</v>
      </c>
      <c r="E6" s="41" t="s">
        <v>14</v>
      </c>
      <c r="F6" s="41" t="s">
        <v>15</v>
      </c>
      <c r="G6" s="41" t="s">
        <v>16</v>
      </c>
      <c r="H6" s="41" t="s">
        <v>17</v>
      </c>
    </row>
    <row r="7" spans="1:8" ht="27.6" x14ac:dyDescent="0.25">
      <c r="A7" s="42">
        <v>46219</v>
      </c>
      <c r="B7" s="48" t="s">
        <v>18</v>
      </c>
      <c r="C7" s="43" t="s">
        <v>20</v>
      </c>
      <c r="D7" s="45">
        <v>26</v>
      </c>
      <c r="E7" s="47" t="s">
        <v>21</v>
      </c>
      <c r="F7" s="43" t="s">
        <v>22</v>
      </c>
      <c r="G7" s="43" t="s">
        <v>23</v>
      </c>
      <c r="H7" s="50" t="s">
        <v>24</v>
      </c>
    </row>
    <row r="8" spans="1:8" ht="13.8" x14ac:dyDescent="0.25">
      <c r="A8" s="44"/>
      <c r="B8" s="49"/>
      <c r="C8" s="44"/>
      <c r="D8" s="46"/>
      <c r="E8" s="44"/>
      <c r="F8" s="44"/>
      <c r="G8" s="44"/>
      <c r="H8" s="49"/>
    </row>
    <row r="9" spans="1:8" ht="13.8" x14ac:dyDescent="0.25">
      <c r="A9" s="43"/>
      <c r="B9" s="48"/>
      <c r="C9" s="43"/>
      <c r="D9" s="45"/>
      <c r="E9" s="43"/>
      <c r="F9" s="43"/>
      <c r="G9" s="43"/>
      <c r="H9" s="48"/>
    </row>
    <row r="10" spans="1:8" ht="13.8" x14ac:dyDescent="0.25">
      <c r="A10" s="44"/>
      <c r="B10" s="49"/>
      <c r="C10" s="44"/>
      <c r="D10" s="46"/>
      <c r="E10" s="44"/>
      <c r="F10" s="44"/>
      <c r="G10" s="44"/>
      <c r="H10" s="49"/>
    </row>
    <row r="11" spans="1:8" ht="13.8" x14ac:dyDescent="0.25">
      <c r="A11" s="43"/>
      <c r="B11" s="48"/>
      <c r="C11" s="43"/>
      <c r="D11" s="45"/>
      <c r="E11" s="43"/>
      <c r="F11" s="43"/>
      <c r="G11" s="43"/>
      <c r="H11" s="48"/>
    </row>
    <row r="12" spans="1:8" ht="13.8" x14ac:dyDescent="0.25">
      <c r="A12" s="44"/>
      <c r="B12" s="49"/>
      <c r="C12" s="44"/>
      <c r="D12" s="46"/>
      <c r="E12" s="44"/>
      <c r="F12" s="44"/>
      <c r="G12" s="44"/>
      <c r="H12" s="49"/>
    </row>
    <row r="13" spans="1:8" ht="13.8" x14ac:dyDescent="0.25">
      <c r="A13" s="43"/>
      <c r="B13" s="48"/>
      <c r="C13" s="43"/>
      <c r="D13" s="45"/>
      <c r="E13" s="43"/>
      <c r="F13" s="43"/>
      <c r="G13" s="43"/>
      <c r="H13" s="48"/>
    </row>
    <row r="14" spans="1:8" ht="13.8" x14ac:dyDescent="0.25">
      <c r="A14" s="44"/>
      <c r="B14" s="49"/>
      <c r="C14" s="44"/>
      <c r="D14" s="46"/>
      <c r="E14" s="44"/>
      <c r="F14" s="44"/>
      <c r="G14" s="44"/>
      <c r="H14" s="49"/>
    </row>
    <row r="15" spans="1:8" ht="13.8" x14ac:dyDescent="0.25">
      <c r="A15" s="43"/>
      <c r="B15" s="48"/>
      <c r="C15" s="43"/>
      <c r="D15" s="45"/>
      <c r="E15" s="43"/>
      <c r="F15" s="43"/>
      <c r="G15" s="43"/>
      <c r="H15" s="48"/>
    </row>
    <row r="16" spans="1:8" ht="13.8" x14ac:dyDescent="0.25">
      <c r="A16" s="44"/>
      <c r="B16" s="49"/>
      <c r="C16" s="44"/>
      <c r="D16" s="46"/>
      <c r="E16" s="44"/>
      <c r="F16" s="44"/>
      <c r="G16" s="44"/>
      <c r="H16" s="49"/>
    </row>
    <row r="17" spans="1:8" ht="13.8" x14ac:dyDescent="0.25">
      <c r="A17" s="43"/>
      <c r="B17" s="48"/>
      <c r="C17" s="43"/>
      <c r="D17" s="45"/>
      <c r="E17" s="43"/>
      <c r="F17" s="43"/>
      <c r="G17" s="43"/>
      <c r="H17" s="48"/>
    </row>
    <row r="18" spans="1:8" ht="13.8" x14ac:dyDescent="0.25">
      <c r="A18" s="44"/>
      <c r="B18" s="49"/>
      <c r="C18" s="44"/>
      <c r="D18" s="46"/>
      <c r="E18" s="44"/>
      <c r="F18" s="44"/>
      <c r="G18" s="44"/>
      <c r="H18" s="49"/>
    </row>
    <row r="19" spans="1:8" ht="13.8" x14ac:dyDescent="0.25">
      <c r="A19" s="43"/>
      <c r="B19" s="48"/>
      <c r="C19" s="43"/>
      <c r="D19" s="45"/>
      <c r="E19" s="43"/>
      <c r="F19" s="43"/>
      <c r="G19" s="43"/>
      <c r="H19" s="48"/>
    </row>
    <row r="20" spans="1:8" ht="13.8" x14ac:dyDescent="0.25">
      <c r="A20" s="44"/>
      <c r="B20" s="49"/>
      <c r="C20" s="44"/>
      <c r="D20" s="46"/>
      <c r="E20" s="44"/>
      <c r="F20" s="44"/>
      <c r="G20" s="44"/>
      <c r="H20" s="49"/>
    </row>
    <row r="21" spans="1:8" ht="13.8" x14ac:dyDescent="0.25">
      <c r="A21" s="43"/>
      <c r="B21" s="48"/>
      <c r="C21" s="43"/>
      <c r="D21" s="45"/>
      <c r="E21" s="43"/>
      <c r="F21" s="43"/>
      <c r="G21" s="43"/>
      <c r="H21" s="48"/>
    </row>
    <row r="22" spans="1:8" ht="13.8" x14ac:dyDescent="0.25">
      <c r="A22" s="44"/>
      <c r="B22" s="49"/>
      <c r="C22" s="44"/>
      <c r="D22" s="46"/>
      <c r="E22" s="44"/>
      <c r="F22" s="44"/>
      <c r="G22" s="44"/>
      <c r="H22" s="49"/>
    </row>
    <row r="23" spans="1:8" ht="13.8" x14ac:dyDescent="0.25">
      <c r="A23" s="43"/>
      <c r="B23" s="48"/>
      <c r="C23" s="43"/>
      <c r="D23" s="45"/>
      <c r="E23" s="43"/>
      <c r="F23" s="43"/>
      <c r="G23" s="43"/>
      <c r="H23" s="48"/>
    </row>
    <row r="24" spans="1:8" ht="13.8" x14ac:dyDescent="0.25">
      <c r="A24" s="44"/>
      <c r="B24" s="49"/>
      <c r="C24" s="44"/>
      <c r="D24" s="46"/>
      <c r="E24" s="44"/>
      <c r="F24" s="44"/>
      <c r="G24" s="44"/>
      <c r="H24" s="49"/>
    </row>
    <row r="25" spans="1:8" ht="13.8" x14ac:dyDescent="0.25">
      <c r="A25" s="43"/>
      <c r="B25" s="48"/>
      <c r="C25" s="43"/>
      <c r="D25" s="45"/>
      <c r="E25" s="43"/>
      <c r="F25" s="43"/>
      <c r="G25" s="43"/>
      <c r="H25" s="48"/>
    </row>
    <row r="26" spans="1:8" ht="13.8" x14ac:dyDescent="0.25">
      <c r="A26" s="44"/>
      <c r="B26" s="49"/>
      <c r="C26" s="44"/>
      <c r="D26" s="46"/>
      <c r="E26" s="44"/>
      <c r="F26" s="44"/>
      <c r="G26" s="44"/>
      <c r="H26" s="49"/>
    </row>
    <row r="27" spans="1:8" ht="13.8" x14ac:dyDescent="0.25">
      <c r="A27" s="43"/>
      <c r="B27" s="48"/>
      <c r="C27" s="43"/>
      <c r="D27" s="45"/>
      <c r="E27" s="43"/>
      <c r="F27" s="43"/>
      <c r="G27" s="43"/>
      <c r="H27" s="48"/>
    </row>
    <row r="28" spans="1:8" ht="13.8" x14ac:dyDescent="0.25">
      <c r="A28" s="44"/>
      <c r="B28" s="49"/>
      <c r="C28" s="44"/>
      <c r="D28" s="46"/>
      <c r="E28" s="44"/>
      <c r="F28" s="44"/>
      <c r="G28" s="44"/>
      <c r="H28" s="49"/>
    </row>
    <row r="29" spans="1:8" ht="13.8" x14ac:dyDescent="0.25">
      <c r="A29" s="43"/>
      <c r="B29" s="48"/>
      <c r="C29" s="43"/>
      <c r="D29" s="45"/>
      <c r="E29" s="43"/>
      <c r="F29" s="43"/>
      <c r="G29" s="43"/>
      <c r="H29" s="48"/>
    </row>
    <row r="30" spans="1:8" ht="13.8" x14ac:dyDescent="0.25">
      <c r="A30" s="44"/>
      <c r="B30" s="49"/>
      <c r="C30" s="44"/>
      <c r="D30" s="46"/>
      <c r="E30" s="44"/>
      <c r="F30" s="44"/>
      <c r="G30" s="44"/>
      <c r="H30" s="49"/>
    </row>
    <row r="31" spans="1:8" ht="13.8" x14ac:dyDescent="0.25">
      <c r="A31" s="43"/>
      <c r="B31" s="48"/>
      <c r="C31" s="43"/>
      <c r="D31" s="45"/>
      <c r="E31" s="43"/>
      <c r="F31" s="43"/>
      <c r="G31" s="43"/>
      <c r="H31" s="48"/>
    </row>
    <row r="32" spans="1:8" ht="13.8" x14ac:dyDescent="0.25">
      <c r="A32" s="44"/>
      <c r="B32" s="49"/>
      <c r="C32" s="44"/>
      <c r="D32" s="46"/>
      <c r="E32" s="44"/>
      <c r="F32" s="44"/>
      <c r="G32" s="44"/>
      <c r="H32" s="49"/>
    </row>
    <row r="33" spans="1:8" ht="13.8" x14ac:dyDescent="0.25">
      <c r="A33" s="43"/>
      <c r="B33" s="48"/>
      <c r="C33" s="43"/>
      <c r="D33" s="45"/>
      <c r="E33" s="43"/>
      <c r="F33" s="43"/>
      <c r="G33" s="43"/>
      <c r="H33" s="48"/>
    </row>
    <row r="34" spans="1:8" ht="13.8" x14ac:dyDescent="0.25">
      <c r="A34" s="44"/>
      <c r="B34" s="49"/>
      <c r="C34" s="44"/>
      <c r="D34" s="46"/>
      <c r="E34" s="44"/>
      <c r="F34" s="44"/>
      <c r="G34" s="44"/>
      <c r="H34" s="49"/>
    </row>
    <row r="35" spans="1:8" ht="13.8" x14ac:dyDescent="0.25">
      <c r="A35" s="43"/>
      <c r="B35" s="48"/>
      <c r="C35" s="43"/>
      <c r="D35" s="45"/>
      <c r="E35" s="43"/>
      <c r="F35" s="43"/>
      <c r="G35" s="43"/>
      <c r="H35" s="48"/>
    </row>
    <row r="36" spans="1:8" ht="13.8" x14ac:dyDescent="0.25">
      <c r="A36" s="44"/>
      <c r="B36" s="49"/>
      <c r="C36" s="44"/>
      <c r="D36" s="46"/>
      <c r="E36" s="44"/>
      <c r="F36" s="44"/>
      <c r="G36" s="44"/>
      <c r="H36" s="49"/>
    </row>
    <row r="37" spans="1:8" ht="13.8" x14ac:dyDescent="0.25">
      <c r="A37" s="43"/>
      <c r="B37" s="48"/>
      <c r="C37" s="43"/>
      <c r="D37" s="45"/>
      <c r="E37" s="43"/>
      <c r="F37" s="43"/>
      <c r="G37" s="43"/>
      <c r="H37" s="48"/>
    </row>
    <row r="38" spans="1:8" ht="13.8" x14ac:dyDescent="0.25">
      <c r="A38" s="44"/>
      <c r="B38" s="49"/>
      <c r="C38" s="44"/>
      <c r="D38" s="46"/>
      <c r="E38" s="44"/>
      <c r="F38" s="44"/>
      <c r="G38" s="44"/>
      <c r="H38" s="49"/>
    </row>
    <row r="39" spans="1:8" ht="13.8" x14ac:dyDescent="0.25">
      <c r="A39" s="43"/>
      <c r="B39" s="48"/>
      <c r="C39" s="43"/>
      <c r="D39" s="45"/>
      <c r="E39" s="43"/>
      <c r="F39" s="43"/>
      <c r="G39" s="43"/>
      <c r="H39" s="48"/>
    </row>
    <row r="40" spans="1:8" ht="13.8" x14ac:dyDescent="0.25">
      <c r="A40" s="44"/>
      <c r="B40" s="49"/>
      <c r="C40" s="44"/>
      <c r="D40" s="46"/>
      <c r="E40" s="44"/>
      <c r="F40" s="44"/>
      <c r="G40" s="44"/>
      <c r="H40" s="49"/>
    </row>
    <row r="41" spans="1:8" ht="13.8" x14ac:dyDescent="0.25">
      <c r="A41" s="43"/>
      <c r="B41" s="48"/>
      <c r="C41" s="43"/>
      <c r="D41" s="45"/>
      <c r="E41" s="43"/>
      <c r="F41" s="43"/>
      <c r="G41" s="43"/>
      <c r="H41" s="48"/>
    </row>
    <row r="42" spans="1:8" ht="13.8" x14ac:dyDescent="0.25">
      <c r="A42" s="44"/>
      <c r="B42" s="49"/>
      <c r="C42" s="44"/>
      <c r="D42" s="46"/>
      <c r="E42" s="44"/>
      <c r="F42" s="44"/>
      <c r="G42" s="44"/>
      <c r="H42" s="49"/>
    </row>
    <row r="43" spans="1:8" ht="13.8" x14ac:dyDescent="0.25">
      <c r="A43" s="43"/>
      <c r="B43" s="48"/>
      <c r="C43" s="43"/>
      <c r="D43" s="45"/>
      <c r="E43" s="43"/>
      <c r="F43" s="43"/>
      <c r="G43" s="43"/>
      <c r="H43" s="48"/>
    </row>
    <row r="44" spans="1:8" ht="13.8" x14ac:dyDescent="0.25">
      <c r="A44" s="44"/>
      <c r="B44" s="49"/>
      <c r="C44" s="44"/>
      <c r="D44" s="46"/>
      <c r="E44" s="44"/>
      <c r="F44" s="44"/>
      <c r="G44" s="44"/>
      <c r="H44" s="49"/>
    </row>
    <row r="45" spans="1:8" ht="13.8" x14ac:dyDescent="0.25">
      <c r="A45" s="43"/>
      <c r="B45" s="48"/>
      <c r="C45" s="43"/>
      <c r="D45" s="45"/>
      <c r="E45" s="43"/>
      <c r="F45" s="43"/>
      <c r="G45" s="43"/>
      <c r="H45" s="48"/>
    </row>
    <row r="46" spans="1:8" ht="13.8" x14ac:dyDescent="0.25">
      <c r="A46" s="44"/>
      <c r="B46" s="49"/>
      <c r="C46" s="44"/>
      <c r="D46" s="46"/>
      <c r="E46" s="44"/>
      <c r="F46" s="44"/>
      <c r="G46" s="44"/>
      <c r="H46" s="49"/>
    </row>
    <row r="47" spans="1:8" ht="13.8" x14ac:dyDescent="0.25">
      <c r="A47" s="43"/>
      <c r="B47" s="48"/>
      <c r="C47" s="43"/>
      <c r="D47" s="45"/>
      <c r="E47" s="43"/>
      <c r="F47" s="43"/>
      <c r="G47" s="43"/>
      <c r="H47" s="48"/>
    </row>
    <row r="48" spans="1:8" ht="13.8" x14ac:dyDescent="0.25">
      <c r="A48" s="44"/>
      <c r="B48" s="49"/>
      <c r="C48" s="44"/>
      <c r="D48" s="46"/>
      <c r="E48" s="44"/>
      <c r="F48" s="44"/>
      <c r="G48" s="44"/>
      <c r="H48" s="49"/>
    </row>
    <row r="49" spans="1:8" ht="13.8" x14ac:dyDescent="0.25">
      <c r="A49" s="43"/>
      <c r="B49" s="48"/>
      <c r="C49" s="43"/>
      <c r="D49" s="45"/>
      <c r="E49" s="43"/>
      <c r="F49" s="43"/>
      <c r="G49" s="43"/>
      <c r="H49" s="48"/>
    </row>
    <row r="50" spans="1:8" ht="13.8" x14ac:dyDescent="0.25">
      <c r="A50" s="44"/>
      <c r="B50" s="49"/>
      <c r="C50" s="44"/>
      <c r="D50" s="46"/>
      <c r="E50" s="44"/>
      <c r="F50" s="44"/>
      <c r="G50" s="44"/>
      <c r="H50" s="49"/>
    </row>
  </sheetData>
  <mergeCells count="7">
    <mergeCell ref="A1:H1"/>
    <mergeCell ref="A3:B3"/>
    <mergeCell ref="C3:D3"/>
    <mergeCell ref="E3:H3"/>
    <mergeCell ref="A4:B4"/>
    <mergeCell ref="C4:D4"/>
    <mergeCell ref="E4:H4"/>
  </mergeCells>
  <dataValidations count="4">
    <dataValidation type="decimal" operator="greaterThanOrEqual" allowBlank="1" showDropDown="1" sqref="D7:D50" xr:uid="{00000000-0002-0000-0100-000000000000}">
      <formula1>0</formula1>
    </dataValidation>
    <dataValidation type="list" allowBlank="1" showErrorMessage="1" sqref="C7:C50" xr:uid="{00000000-0002-0000-0100-000001000000}">
      <formula1>"Material,Mão de Obra,Frete,Acabamento,Imprevisto,Outros"</formula1>
    </dataValidation>
    <dataValidation type="list" allowBlank="1" showErrorMessage="1" sqref="E7:E50" xr:uid="{00000000-0002-0000-0100-000002000000}">
      <formula1>"Pago,Pendente,Atrasado,Cancelado"</formula1>
    </dataValidation>
    <dataValidation type="list" allowBlank="1" sqref="G7:G50" xr:uid="{00000000-0002-0000-0100-000003000000}">
      <formula1>"PIX,Cartão de Crédito,Boleto,Dinheiro,Transferência"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Empréstimos e Pessoal</vt:lpstr>
      <vt:lpstr>Orçamento Principal</vt:lpstr>
      <vt:lpstr>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- Performance</cp:lastModifiedBy>
  <dcterms:created xsi:type="dcterms:W3CDTF">2026-07-30T16:51:03Z</dcterms:created>
  <dcterms:modified xsi:type="dcterms:W3CDTF">2026-07-30T17:04:42Z</dcterms:modified>
</cp:coreProperties>
</file>