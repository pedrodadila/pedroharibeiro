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çamento Principal" sheetId="1" r:id="rId5"/>
    <sheet state="visible" name="Extras" sheetId="2" r:id="rId6"/>
  </sheets>
  <definedNames/>
  <calcPr/>
</workbook>
</file>

<file path=xl/sharedStrings.xml><?xml version="1.0" encoding="utf-8"?>
<sst xmlns="http://schemas.openxmlformats.org/spreadsheetml/2006/main" count="44" uniqueCount="27">
  <si>
    <t>RASTREADOR DE EXTRAS DA REFORMA</t>
  </si>
  <si>
    <t>Reforma - Casa 367: Orçamento Principal</t>
  </si>
  <si>
    <t>Orçamento Estimado</t>
  </si>
  <si>
    <t>Total de Extras</t>
  </si>
  <si>
    <t>Limite Máximo</t>
  </si>
  <si>
    <t>Total Pago</t>
  </si>
  <si>
    <t>Valor Pago</t>
  </si>
  <si>
    <t>Saldo Restante</t>
  </si>
  <si>
    <t>Valor Pendente</t>
  </si>
  <si>
    <t>Data</t>
  </si>
  <si>
    <t>Descrição</t>
  </si>
  <si>
    <t>Categoria</t>
  </si>
  <si>
    <t>Valor</t>
  </si>
  <si>
    <t>Parcela</t>
  </si>
  <si>
    <t>Status</t>
  </si>
  <si>
    <t>Fornecedor</t>
  </si>
  <si>
    <t>Forma de Pagamento</t>
  </si>
  <si>
    <t>Observações</t>
  </si>
  <si>
    <t>Cadeado Padro LT-30mm</t>
  </si>
  <si>
    <t>Entrada (20%)</t>
  </si>
  <si>
    <t>Outros</t>
  </si>
  <si>
    <t>Pago</t>
  </si>
  <si>
    <t>Brejãoweb</t>
  </si>
  <si>
    <t>Cartão de Crédito</t>
  </si>
  <si>
    <t>Pedro - comprei para ter 2 chaves do portão antes de começar a obra</t>
  </si>
  <si>
    <t>12% mensal</t>
  </si>
  <si>
    <t>Final da obra/entrega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</si>
</sst>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 #,##0.00"/>
    <numFmt numFmtId="165" formatCode="&quot;R$&quot;#,##0.00"/>
    <numFmt numFmtId="166" formatCode="dd/mm/yyyy"/>
  </numFmts>
  <fonts count="16">
    <font>
      <sz val="10.0"/>
      <color rgb="FF000000"/>
      <name val="Arial"/>
      <scheme val="minor"/>
    </font>
    <font>
      <b/>
      <sz val="16.0"/>
      <color rgb="FF3A5F8F"/>
      <name val="Montserrat"/>
    </font>
    <font>
      <b/>
      <sz val="24.0"/>
      <color rgb="FF405F90"/>
      <name val="Montserrat"/>
    </font>
    <font>
      <color theme="1"/>
      <name val="Arial"/>
      <scheme val="minor"/>
    </font>
    <font>
      <b/>
      <sz val="10.0"/>
      <color rgb="FF74777E"/>
      <name val="Roboto"/>
    </font>
    <font/>
    <font>
      <b/>
      <sz val="10.0"/>
      <color rgb="FF3B4657"/>
      <name val="Montserrat"/>
    </font>
    <font>
      <b/>
      <sz val="16.0"/>
      <color rgb="FF181C1F"/>
      <name val="Roboto"/>
    </font>
    <font>
      <b/>
      <sz val="14.0"/>
      <color rgb="FF3A5F8F"/>
      <name val="Roboto"/>
    </font>
    <font>
      <b/>
      <sz val="14.0"/>
      <color rgb="FF3EC08A"/>
      <name val="Roboto"/>
    </font>
    <font>
      <b/>
      <sz val="14.0"/>
      <color rgb="FFEA9999"/>
      <name val="Roboto"/>
    </font>
    <font>
      <b/>
      <sz val="12.0"/>
      <color rgb="FFFF859A"/>
      <name val="Roboto"/>
    </font>
    <font>
      <b/>
      <sz val="10.0"/>
      <color rgb="FFFFFFFF"/>
      <name val="Montserrat"/>
    </font>
    <font>
      <b/>
      <sz val="11.0"/>
      <color rgb="FFFFFFFF"/>
      <name val="Montserrat"/>
    </font>
    <font>
      <sz val="10.0"/>
      <color rgb="FF181C1F"/>
      <name val="Roboto"/>
    </font>
    <font>
      <sz val="10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8F8FF"/>
        <bgColor rgb="FFF8F8FF"/>
      </patternFill>
    </fill>
    <fill>
      <patternFill patternType="solid">
        <fgColor rgb="FFD7E2F8"/>
        <bgColor rgb="FFD7E2F8"/>
      </patternFill>
    </fill>
    <fill>
      <patternFill patternType="solid">
        <fgColor rgb="FF3A5F8F"/>
        <bgColor rgb="FF3A5F8F"/>
      </patternFill>
    </fill>
    <fill>
      <patternFill patternType="solid">
        <fgColor rgb="FF405F90"/>
        <bgColor rgb="FF405F90"/>
      </patternFill>
    </fill>
  </fills>
  <borders count="12">
    <border/>
    <border>
      <left style="thin">
        <color rgb="FF74777E"/>
      </left>
      <top style="thin">
        <color rgb="FF74777E"/>
      </top>
    </border>
    <border>
      <right style="thin">
        <color rgb="FF74777E"/>
      </right>
      <top style="thin">
        <color rgb="FF74777E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74777E"/>
      </left>
      <bottom style="thin">
        <color rgb="FF74777E"/>
      </bottom>
    </border>
    <border>
      <right style="thin">
        <color rgb="FF74777E"/>
      </right>
      <bottom style="thin">
        <color rgb="FF74777E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3" fontId="6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2" fontId="7" numFmtId="164" xfId="0" applyAlignment="1" applyBorder="1" applyFont="1" applyNumberFormat="1">
      <alignment horizontal="center" readingOrder="0" vertical="center"/>
    </xf>
    <xf borderId="7" fillId="0" fontId="5" numFmtId="0" xfId="0" applyBorder="1" applyFont="1"/>
    <xf borderId="8" fillId="3" fontId="8" numFmtId="165" xfId="0" applyAlignment="1" applyBorder="1" applyFont="1" applyNumberFormat="1">
      <alignment horizontal="center" vertical="center"/>
    </xf>
    <xf borderId="9" fillId="0" fontId="5" numFmtId="0" xfId="0" applyBorder="1" applyFont="1"/>
    <xf borderId="6" fillId="2" fontId="7" numFmtId="164" xfId="0" applyAlignment="1" applyBorder="1" applyFont="1" applyNumberFormat="1">
      <alignment horizontal="center" vertical="center"/>
    </xf>
    <xf borderId="8" fillId="3" fontId="9" numFmtId="165" xfId="0" applyAlignment="1" applyBorder="1" applyFont="1" applyNumberFormat="1">
      <alignment horizontal="center" vertical="center"/>
    </xf>
    <xf borderId="8" fillId="3" fontId="10" numFmtId="165" xfId="0" applyAlignment="1" applyBorder="1" applyFont="1" applyNumberFormat="1">
      <alignment horizontal="center" vertical="center"/>
    </xf>
    <xf borderId="10" fillId="0" fontId="5" numFmtId="0" xfId="0" applyBorder="1" applyFont="1"/>
    <xf borderId="0" fillId="0" fontId="11" numFmtId="0" xfId="0" applyAlignment="1" applyFont="1">
      <alignment horizontal="center" vertical="center"/>
    </xf>
    <xf borderId="0" fillId="4" fontId="12" numFmtId="0" xfId="0" applyAlignment="1" applyFill="1" applyFont="1">
      <alignment horizontal="center" readingOrder="0" shrinkToFit="0" vertical="center" wrapText="1"/>
    </xf>
    <xf borderId="0" fillId="5" fontId="13" numFmtId="0" xfId="0" applyAlignment="1" applyFill="1" applyFont="1">
      <alignment horizontal="center" readingOrder="0" vertical="center"/>
    </xf>
    <xf borderId="11" fillId="0" fontId="14" numFmtId="166" xfId="0" applyAlignment="1" applyBorder="1" applyFont="1" applyNumberFormat="1">
      <alignment horizontal="center" readingOrder="0" vertical="center"/>
    </xf>
    <xf borderId="0" fillId="0" fontId="15" numFmtId="166" xfId="0" applyAlignment="1" applyFont="1" applyNumberFormat="1">
      <alignment horizontal="center" readingOrder="0" vertical="center"/>
    </xf>
    <xf borderId="11" fillId="0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11" fillId="0" fontId="14" numFmtId="165" xfId="0" applyAlignment="1" applyBorder="1" applyFont="1" applyNumberFormat="1">
      <alignment horizontal="center" readingOrder="0" vertical="center"/>
    </xf>
    <xf borderId="0" fillId="0" fontId="15" numFmtId="164" xfId="0" applyAlignment="1" applyFont="1" applyNumberFormat="1">
      <alignment horizontal="center" vertical="center"/>
    </xf>
    <xf borderId="11" fillId="0" fontId="14" numFmtId="0" xfId="0" applyAlignment="1" applyBorder="1" applyFont="1">
      <alignment horizontal="left" readingOrder="0" vertical="center"/>
    </xf>
    <xf borderId="11" fillId="0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11" fillId="0" fontId="14" numFmtId="165" xfId="0" applyAlignment="1" applyBorder="1" applyFont="1" applyNumberFormat="1">
      <alignment horizontal="center" vertical="center"/>
    </xf>
    <xf borderId="0" fillId="0" fontId="15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05F90"/>
          <bgColor rgb="FF405F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Extras-style">
      <tableStyleElement dxfId="2" type="firstRowStripe"/>
      <tableStyleElement dxfId="3" type="secondRowStripe"/>
    </tableStyle>
    <tableStyle count="3" pivot="0" name="Orçamento Principal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F20" displayName="Table_1" name="Table_1" id="2">
  <tableColumns count="6">
    <tableColumn name="Data" id="1"/>
    <tableColumn name="Parcela" id="2"/>
    <tableColumn name="Descrição" id="3"/>
    <tableColumn name="Valor" id="4"/>
    <tableColumn name="Status" id="5"/>
    <tableColumn name="Observações" id="6"/>
  </tableColumns>
  <tableStyleInfo name="Orçamento Principal-style" showColumnStripes="0" showFirstColumn="1" showLastColumn="1" showRowStripes="1"/>
</table>
</file>

<file path=xl/tables/table2.xml><?xml version="1.0" encoding="utf-8"?>
<table xmlns="http://schemas.openxmlformats.org/spreadsheetml/2006/main" headerRowCount="0" ref="A7:H50" displayName="Table_2" name="Table_2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Ext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2" max="2" width="10.13"/>
    <col customWidth="1" min="3" max="3" width="31.38"/>
    <col customWidth="1" min="4" max="5" width="15.13"/>
    <col customWidth="1" min="6" max="6" width="31.38"/>
  </cols>
  <sheetData>
    <row r="1" ht="32.25" customHeight="1">
      <c r="A1" s="2" t="s">
        <v>1</v>
      </c>
    </row>
    <row r="2" ht="9.0" customHeight="1">
      <c r="A2" s="3"/>
      <c r="B2" s="3"/>
      <c r="C2" s="3"/>
      <c r="D2" s="3"/>
      <c r="E2" s="3"/>
      <c r="F2" s="3"/>
    </row>
    <row r="3" ht="26.25" customHeight="1">
      <c r="A3" s="4" t="s">
        <v>2</v>
      </c>
      <c r="B3" s="5"/>
      <c r="C3" s="4" t="s">
        <v>4</v>
      </c>
      <c r="D3" s="4" t="s">
        <v>5</v>
      </c>
      <c r="E3" s="5"/>
      <c r="F3" s="4" t="s">
        <v>7</v>
      </c>
    </row>
    <row r="4" ht="26.25" customHeight="1">
      <c r="A4" s="9">
        <v>175000.0</v>
      </c>
      <c r="B4" s="10"/>
      <c r="C4" s="9">
        <v>180000.0</v>
      </c>
      <c r="D4" s="13">
        <f>SUMIFS(D7:D20, E7:E20, "Pago")</f>
        <v>181000</v>
      </c>
      <c r="E4" s="10"/>
      <c r="F4" s="9">
        <f>C4-D4</f>
        <v>-1000</v>
      </c>
    </row>
    <row r="5" ht="20.25" customHeight="1">
      <c r="A5" s="17" t="str">
        <f>IF(F4&lt;=34000, "⚠️ Avisar o David", "")</f>
        <v>⚠️ Avisar o David</v>
      </c>
    </row>
    <row r="6" ht="26.25" customHeight="1">
      <c r="A6" s="19" t="s">
        <v>9</v>
      </c>
      <c r="B6" s="19" t="s">
        <v>13</v>
      </c>
      <c r="C6" s="19" t="s">
        <v>10</v>
      </c>
      <c r="D6" s="19" t="s">
        <v>12</v>
      </c>
      <c r="E6" s="19" t="s">
        <v>14</v>
      </c>
      <c r="F6" s="19" t="s">
        <v>17</v>
      </c>
    </row>
    <row r="7" ht="26.25" customHeight="1">
      <c r="A7" s="21">
        <v>46244.0</v>
      </c>
      <c r="B7" s="23">
        <v>1.0</v>
      </c>
      <c r="C7" s="23" t="s">
        <v>19</v>
      </c>
      <c r="D7" s="25">
        <f>A4*20%</f>
        <v>35000</v>
      </c>
      <c r="E7" s="23" t="s">
        <v>21</v>
      </c>
      <c r="F7" s="28"/>
    </row>
    <row r="8" ht="26.25" customHeight="1">
      <c r="A8" s="21">
        <v>46275.0</v>
      </c>
      <c r="B8" s="28"/>
      <c r="C8" s="23" t="s">
        <v>25</v>
      </c>
      <c r="D8" s="25">
        <f>A4*12%</f>
        <v>21000</v>
      </c>
      <c r="E8" s="23" t="s">
        <v>21</v>
      </c>
      <c r="F8" s="28"/>
    </row>
    <row r="9" ht="26.25" customHeight="1">
      <c r="A9" s="21">
        <v>46305.0</v>
      </c>
      <c r="B9" s="28"/>
      <c r="C9" s="23" t="s">
        <v>25</v>
      </c>
      <c r="D9" s="25">
        <f>A4*12%</f>
        <v>21000</v>
      </c>
      <c r="E9" s="23" t="s">
        <v>21</v>
      </c>
      <c r="F9" s="28"/>
    </row>
    <row r="10" ht="26.25" customHeight="1">
      <c r="A10" s="21">
        <v>46336.0</v>
      </c>
      <c r="B10" s="28"/>
      <c r="C10" s="23" t="s">
        <v>25</v>
      </c>
      <c r="D10" s="25">
        <f>A4*12%</f>
        <v>21000</v>
      </c>
      <c r="E10" s="23" t="s">
        <v>21</v>
      </c>
      <c r="F10" s="28"/>
    </row>
    <row r="11" ht="26.25" customHeight="1">
      <c r="A11" s="21">
        <v>46366.0</v>
      </c>
      <c r="B11" s="28"/>
      <c r="C11" s="23" t="s">
        <v>25</v>
      </c>
      <c r="D11" s="25">
        <f>A4*12%</f>
        <v>21000</v>
      </c>
      <c r="E11" s="23" t="s">
        <v>21</v>
      </c>
      <c r="F11" s="28"/>
    </row>
    <row r="12" ht="26.25" customHeight="1">
      <c r="A12" s="21">
        <v>46397.0</v>
      </c>
      <c r="B12" s="28"/>
      <c r="C12" s="23" t="s">
        <v>25</v>
      </c>
      <c r="D12" s="25">
        <f>A4*12%</f>
        <v>21000</v>
      </c>
      <c r="E12" s="23" t="s">
        <v>21</v>
      </c>
      <c r="F12" s="28"/>
    </row>
    <row r="13" ht="26.25" customHeight="1">
      <c r="A13" s="21">
        <v>46428.0</v>
      </c>
      <c r="B13" s="28"/>
      <c r="C13" s="23"/>
      <c r="D13" s="30">
        <v>5000.0</v>
      </c>
      <c r="E13" s="23" t="s">
        <v>21</v>
      </c>
      <c r="F13" s="28"/>
    </row>
    <row r="14" ht="26.25" customHeight="1">
      <c r="A14" s="21">
        <v>46456.0</v>
      </c>
      <c r="B14" s="28"/>
      <c r="C14" s="23" t="s">
        <v>26</v>
      </c>
      <c r="D14" s="30">
        <v>36000.0</v>
      </c>
      <c r="E14" s="23" t="s">
        <v>21</v>
      </c>
      <c r="F14" s="28"/>
    </row>
    <row r="15" ht="26.25" customHeight="1">
      <c r="A15" s="28"/>
      <c r="B15" s="28"/>
      <c r="C15" s="28"/>
      <c r="D15" s="25"/>
      <c r="E15" s="28"/>
      <c r="F15" s="28"/>
    </row>
    <row r="16" ht="26.25" customHeight="1">
      <c r="A16" s="28"/>
      <c r="B16" s="28"/>
      <c r="C16" s="28"/>
      <c r="D16" s="25"/>
      <c r="E16" s="28"/>
      <c r="F16" s="28"/>
    </row>
    <row r="17" ht="26.25" customHeight="1">
      <c r="A17" s="28"/>
      <c r="B17" s="28"/>
      <c r="C17" s="28"/>
      <c r="D17" s="25"/>
      <c r="E17" s="28"/>
      <c r="F17" s="28"/>
    </row>
    <row r="18" ht="26.25" customHeight="1">
      <c r="A18" s="28"/>
      <c r="B18" s="28"/>
      <c r="C18" s="28"/>
      <c r="D18" s="25"/>
      <c r="E18" s="28"/>
      <c r="F18" s="28"/>
    </row>
    <row r="19" ht="26.25" customHeight="1">
      <c r="A19" s="28"/>
      <c r="B19" s="28"/>
      <c r="C19" s="28"/>
      <c r="D19" s="25"/>
      <c r="E19" s="28"/>
      <c r="F19" s="28"/>
    </row>
    <row r="20" ht="26.25" customHeight="1">
      <c r="A20" s="28"/>
      <c r="B20" s="28"/>
      <c r="C20" s="28"/>
      <c r="D20" s="25"/>
      <c r="E20" s="28"/>
      <c r="F20" s="28"/>
    </row>
  </sheetData>
  <mergeCells count="6">
    <mergeCell ref="A1:F1"/>
    <mergeCell ref="A3:B3"/>
    <mergeCell ref="D3:E3"/>
    <mergeCell ref="A4:B4"/>
    <mergeCell ref="D4:E4"/>
    <mergeCell ref="A5:F5"/>
  </mergeCells>
  <dataValidations>
    <dataValidation type="list" allowBlank="1" showErrorMessage="1" sqref="E7:E20">
      <formula1>"Pago,Pendente"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2" width="31.38"/>
    <col customWidth="1" min="3" max="3" width="16.38"/>
    <col customWidth="1" min="4" max="5" width="13.88"/>
    <col customWidth="1" min="6" max="6" width="18.88"/>
    <col customWidth="1" min="7" max="7" width="19.13"/>
    <col customWidth="1" min="8" max="8" width="53.25"/>
  </cols>
  <sheetData>
    <row r="1">
      <c r="A1" s="1" t="s">
        <v>0</v>
      </c>
    </row>
    <row r="2">
      <c r="A2" s="3"/>
      <c r="B2" s="3"/>
      <c r="C2" s="3"/>
      <c r="D2" s="3"/>
      <c r="E2" s="3"/>
      <c r="F2" s="3"/>
      <c r="G2" s="3"/>
      <c r="H2" s="3"/>
    </row>
    <row r="3">
      <c r="A3" s="6" t="s">
        <v>3</v>
      </c>
      <c r="B3" s="7"/>
      <c r="C3" s="6" t="s">
        <v>6</v>
      </c>
      <c r="D3" s="7"/>
      <c r="E3" s="6" t="s">
        <v>8</v>
      </c>
      <c r="F3" s="8"/>
      <c r="G3" s="8"/>
      <c r="H3" s="7"/>
    </row>
    <row r="4">
      <c r="A4" s="11">
        <f>SUM(D7:D50)</f>
        <v>26</v>
      </c>
      <c r="B4" s="12"/>
      <c r="C4" s="14">
        <f>SUMIFS(D7:D50, E7:E50, "Pago")</f>
        <v>26</v>
      </c>
      <c r="D4" s="12"/>
      <c r="E4" s="15">
        <f>SUMIFS(D7:D50, E7:E50, "Pendente")</f>
        <v>0</v>
      </c>
      <c r="F4" s="16"/>
      <c r="G4" s="16"/>
      <c r="H4" s="12"/>
    </row>
    <row r="5">
      <c r="A5" s="3"/>
      <c r="B5" s="3"/>
      <c r="C5" s="3"/>
      <c r="D5" s="3"/>
      <c r="E5" s="3"/>
      <c r="F5" s="3"/>
      <c r="G5" s="3"/>
      <c r="H5" s="3"/>
    </row>
    <row r="6">
      <c r="A6" s="18" t="s">
        <v>9</v>
      </c>
      <c r="B6" s="18" t="s">
        <v>10</v>
      </c>
      <c r="C6" s="18" t="s">
        <v>11</v>
      </c>
      <c r="D6" s="18" t="s">
        <v>12</v>
      </c>
      <c r="E6" s="18" t="s">
        <v>14</v>
      </c>
      <c r="F6" s="18" t="s">
        <v>15</v>
      </c>
      <c r="G6" s="18" t="s">
        <v>16</v>
      </c>
      <c r="H6" s="18" t="s">
        <v>17</v>
      </c>
    </row>
    <row r="7">
      <c r="A7" s="20">
        <v>46219.0</v>
      </c>
      <c r="B7" s="22" t="s">
        <v>18</v>
      </c>
      <c r="C7" s="22" t="s">
        <v>20</v>
      </c>
      <c r="D7" s="24">
        <v>26.0</v>
      </c>
      <c r="E7" s="22" t="s">
        <v>21</v>
      </c>
      <c r="F7" s="22" t="s">
        <v>22</v>
      </c>
      <c r="G7" s="22" t="s">
        <v>23</v>
      </c>
      <c r="H7" s="26" t="s">
        <v>24</v>
      </c>
    </row>
    <row r="8">
      <c r="A8" s="27"/>
      <c r="B8" s="27"/>
      <c r="C8" s="27"/>
      <c r="D8" s="29"/>
      <c r="E8" s="27"/>
      <c r="F8" s="27"/>
      <c r="G8" s="27"/>
      <c r="H8" s="27"/>
    </row>
    <row r="9">
      <c r="A9" s="27"/>
      <c r="B9" s="27"/>
      <c r="C9" s="27"/>
      <c r="D9" s="29"/>
      <c r="E9" s="27"/>
      <c r="F9" s="27"/>
      <c r="G9" s="27"/>
      <c r="H9" s="27"/>
    </row>
    <row r="10">
      <c r="A10" s="27"/>
      <c r="B10" s="27"/>
      <c r="C10" s="27"/>
      <c r="D10" s="29"/>
      <c r="E10" s="27"/>
      <c r="F10" s="27"/>
      <c r="G10" s="27"/>
      <c r="H10" s="27"/>
    </row>
    <row r="11">
      <c r="A11" s="27"/>
      <c r="B11" s="27"/>
      <c r="C11" s="27"/>
      <c r="D11" s="29"/>
      <c r="E11" s="27"/>
      <c r="F11" s="27"/>
      <c r="G11" s="27"/>
      <c r="H11" s="27"/>
    </row>
    <row r="12">
      <c r="A12" s="27"/>
      <c r="B12" s="27"/>
      <c r="C12" s="27"/>
      <c r="D12" s="29"/>
      <c r="E12" s="27"/>
      <c r="F12" s="27"/>
      <c r="G12" s="27"/>
      <c r="H12" s="27"/>
    </row>
    <row r="13">
      <c r="A13" s="27"/>
      <c r="B13" s="27"/>
      <c r="C13" s="27"/>
      <c r="D13" s="29"/>
      <c r="E13" s="27"/>
      <c r="F13" s="27"/>
      <c r="G13" s="27"/>
      <c r="H13" s="27"/>
    </row>
    <row r="14">
      <c r="A14" s="27"/>
      <c r="B14" s="27"/>
      <c r="C14" s="27"/>
      <c r="D14" s="29"/>
      <c r="E14" s="27"/>
      <c r="F14" s="27"/>
      <c r="G14" s="27"/>
      <c r="H14" s="27"/>
    </row>
    <row r="15">
      <c r="A15" s="27"/>
      <c r="B15" s="27"/>
      <c r="C15" s="27"/>
      <c r="D15" s="29"/>
      <c r="E15" s="27"/>
      <c r="F15" s="27"/>
      <c r="G15" s="27"/>
      <c r="H15" s="27"/>
    </row>
    <row r="16">
      <c r="A16" s="27"/>
      <c r="B16" s="27"/>
      <c r="C16" s="27"/>
      <c r="D16" s="29"/>
      <c r="E16" s="27"/>
      <c r="F16" s="27"/>
      <c r="G16" s="27"/>
      <c r="H16" s="27"/>
    </row>
    <row r="17">
      <c r="A17" s="27"/>
      <c r="B17" s="27"/>
      <c r="C17" s="27"/>
      <c r="D17" s="29"/>
      <c r="E17" s="27"/>
      <c r="F17" s="27"/>
      <c r="G17" s="27"/>
      <c r="H17" s="27"/>
    </row>
    <row r="18">
      <c r="A18" s="27"/>
      <c r="B18" s="27"/>
      <c r="C18" s="27"/>
      <c r="D18" s="29"/>
      <c r="E18" s="27"/>
      <c r="F18" s="27"/>
      <c r="G18" s="27"/>
      <c r="H18" s="27"/>
    </row>
    <row r="19">
      <c r="A19" s="27"/>
      <c r="B19" s="27"/>
      <c r="C19" s="27"/>
      <c r="D19" s="29"/>
      <c r="E19" s="27"/>
      <c r="F19" s="27"/>
      <c r="G19" s="27"/>
      <c r="H19" s="27"/>
    </row>
    <row r="20">
      <c r="A20" s="27"/>
      <c r="B20" s="27"/>
      <c r="C20" s="27"/>
      <c r="D20" s="29"/>
      <c r="E20" s="27"/>
      <c r="F20" s="27"/>
      <c r="G20" s="27"/>
      <c r="H20" s="27"/>
    </row>
    <row r="21">
      <c r="A21" s="27"/>
      <c r="B21" s="27"/>
      <c r="C21" s="27"/>
      <c r="D21" s="29"/>
      <c r="E21" s="27"/>
      <c r="F21" s="27"/>
      <c r="G21" s="27"/>
      <c r="H21" s="27"/>
    </row>
    <row r="22">
      <c r="A22" s="27"/>
      <c r="B22" s="27"/>
      <c r="C22" s="27"/>
      <c r="D22" s="29"/>
      <c r="E22" s="27"/>
      <c r="F22" s="27"/>
      <c r="G22" s="27"/>
      <c r="H22" s="27"/>
    </row>
    <row r="23">
      <c r="A23" s="27"/>
      <c r="B23" s="27"/>
      <c r="C23" s="27"/>
      <c r="D23" s="29"/>
      <c r="E23" s="27"/>
      <c r="F23" s="27"/>
      <c r="G23" s="27"/>
      <c r="H23" s="27"/>
    </row>
    <row r="24">
      <c r="A24" s="27"/>
      <c r="B24" s="27"/>
      <c r="C24" s="27"/>
      <c r="D24" s="29"/>
      <c r="E24" s="27"/>
      <c r="F24" s="27"/>
      <c r="G24" s="27"/>
      <c r="H24" s="27"/>
    </row>
    <row r="25">
      <c r="A25" s="27"/>
      <c r="B25" s="27"/>
      <c r="C25" s="27"/>
      <c r="D25" s="29"/>
      <c r="E25" s="27"/>
      <c r="F25" s="27"/>
      <c r="G25" s="27"/>
      <c r="H25" s="27"/>
    </row>
    <row r="26">
      <c r="A26" s="27"/>
      <c r="B26" s="27"/>
      <c r="C26" s="27"/>
      <c r="D26" s="29"/>
      <c r="E26" s="27"/>
      <c r="F26" s="27"/>
      <c r="G26" s="27"/>
      <c r="H26" s="27"/>
    </row>
    <row r="27">
      <c r="A27" s="27"/>
      <c r="B27" s="27"/>
      <c r="C27" s="27"/>
      <c r="D27" s="29"/>
      <c r="E27" s="27"/>
      <c r="F27" s="27"/>
      <c r="G27" s="27"/>
      <c r="H27" s="27"/>
    </row>
    <row r="28">
      <c r="A28" s="27"/>
      <c r="B28" s="27"/>
      <c r="C28" s="27"/>
      <c r="D28" s="29"/>
      <c r="E28" s="27"/>
      <c r="F28" s="27"/>
      <c r="G28" s="27"/>
      <c r="H28" s="27"/>
    </row>
    <row r="29">
      <c r="A29" s="27"/>
      <c r="B29" s="27"/>
      <c r="C29" s="27"/>
      <c r="D29" s="29"/>
      <c r="E29" s="27"/>
      <c r="F29" s="27"/>
      <c r="G29" s="27"/>
      <c r="H29" s="27"/>
    </row>
    <row r="30">
      <c r="A30" s="27"/>
      <c r="B30" s="27"/>
      <c r="C30" s="27"/>
      <c r="D30" s="29"/>
      <c r="E30" s="27"/>
      <c r="F30" s="27"/>
      <c r="G30" s="27"/>
      <c r="H30" s="27"/>
    </row>
    <row r="31">
      <c r="A31" s="27"/>
      <c r="B31" s="27"/>
      <c r="C31" s="27"/>
      <c r="D31" s="29"/>
      <c r="E31" s="27"/>
      <c r="F31" s="27"/>
      <c r="G31" s="27"/>
      <c r="H31" s="27"/>
    </row>
    <row r="32">
      <c r="A32" s="27"/>
      <c r="B32" s="27"/>
      <c r="C32" s="27"/>
      <c r="D32" s="29"/>
      <c r="E32" s="27"/>
      <c r="F32" s="27"/>
      <c r="G32" s="27"/>
      <c r="H32" s="27"/>
    </row>
    <row r="33">
      <c r="A33" s="27"/>
      <c r="B33" s="27"/>
      <c r="C33" s="27"/>
      <c r="D33" s="29"/>
      <c r="E33" s="27"/>
      <c r="F33" s="27"/>
      <c r="G33" s="27"/>
      <c r="H33" s="27"/>
    </row>
    <row r="34">
      <c r="A34" s="27"/>
      <c r="B34" s="27"/>
      <c r="C34" s="27"/>
      <c r="D34" s="29"/>
      <c r="E34" s="27"/>
      <c r="F34" s="27"/>
      <c r="G34" s="27"/>
      <c r="H34" s="27"/>
    </row>
    <row r="35">
      <c r="A35" s="27"/>
      <c r="B35" s="27"/>
      <c r="C35" s="27"/>
      <c r="D35" s="29"/>
      <c r="E35" s="27"/>
      <c r="F35" s="27"/>
      <c r="G35" s="27"/>
      <c r="H35" s="27"/>
    </row>
    <row r="36">
      <c r="A36" s="27"/>
      <c r="B36" s="27"/>
      <c r="C36" s="27"/>
      <c r="D36" s="29"/>
      <c r="E36" s="27"/>
      <c r="F36" s="27"/>
      <c r="G36" s="27"/>
      <c r="H36" s="27"/>
    </row>
    <row r="37">
      <c r="A37" s="27"/>
      <c r="B37" s="27"/>
      <c r="C37" s="27"/>
      <c r="D37" s="29"/>
      <c r="E37" s="27"/>
      <c r="F37" s="27"/>
      <c r="G37" s="27"/>
      <c r="H37" s="27"/>
    </row>
    <row r="38">
      <c r="A38" s="27"/>
      <c r="B38" s="27"/>
      <c r="C38" s="27"/>
      <c r="D38" s="29"/>
      <c r="E38" s="27"/>
      <c r="F38" s="27"/>
      <c r="G38" s="27"/>
      <c r="H38" s="27"/>
    </row>
    <row r="39">
      <c r="A39" s="27"/>
      <c r="B39" s="27"/>
      <c r="C39" s="27"/>
      <c r="D39" s="29"/>
      <c r="E39" s="27"/>
      <c r="F39" s="27"/>
      <c r="G39" s="27"/>
      <c r="H39" s="27"/>
    </row>
    <row r="40">
      <c r="A40" s="27"/>
      <c r="B40" s="27"/>
      <c r="C40" s="27"/>
      <c r="D40" s="29"/>
      <c r="E40" s="27"/>
      <c r="F40" s="27"/>
      <c r="G40" s="27"/>
      <c r="H40" s="27"/>
    </row>
    <row r="41">
      <c r="A41" s="27"/>
      <c r="B41" s="27"/>
      <c r="C41" s="27"/>
      <c r="D41" s="29"/>
      <c r="E41" s="27"/>
      <c r="F41" s="27"/>
      <c r="G41" s="27"/>
      <c r="H41" s="27"/>
    </row>
    <row r="42">
      <c r="A42" s="27"/>
      <c r="B42" s="27"/>
      <c r="C42" s="27"/>
      <c r="D42" s="29"/>
      <c r="E42" s="27"/>
      <c r="F42" s="27"/>
      <c r="G42" s="27"/>
      <c r="H42" s="27"/>
    </row>
    <row r="43">
      <c r="A43" s="27"/>
      <c r="B43" s="27"/>
      <c r="C43" s="27"/>
      <c r="D43" s="29"/>
      <c r="E43" s="27"/>
      <c r="F43" s="27"/>
      <c r="G43" s="27"/>
      <c r="H43" s="27"/>
    </row>
    <row r="44">
      <c r="A44" s="27"/>
      <c r="B44" s="27"/>
      <c r="C44" s="27"/>
      <c r="D44" s="29"/>
      <c r="E44" s="27"/>
      <c r="F44" s="27"/>
      <c r="G44" s="27"/>
      <c r="H44" s="27"/>
    </row>
    <row r="45">
      <c r="A45" s="27"/>
      <c r="B45" s="27"/>
      <c r="C45" s="27"/>
      <c r="D45" s="29"/>
      <c r="E45" s="27"/>
      <c r="F45" s="27"/>
      <c r="G45" s="27"/>
      <c r="H45" s="27"/>
    </row>
    <row r="46">
      <c r="A46" s="27"/>
      <c r="B46" s="27"/>
      <c r="C46" s="27"/>
      <c r="D46" s="29"/>
      <c r="E46" s="27"/>
      <c r="F46" s="27"/>
      <c r="G46" s="27"/>
      <c r="H46" s="27"/>
    </row>
    <row r="47">
      <c r="A47" s="27"/>
      <c r="B47" s="27"/>
      <c r="C47" s="27"/>
      <c r="D47" s="29"/>
      <c r="E47" s="27"/>
      <c r="F47" s="27"/>
      <c r="G47" s="27"/>
      <c r="H47" s="27"/>
    </row>
    <row r="48">
      <c r="A48" s="27"/>
      <c r="B48" s="27"/>
      <c r="C48" s="27"/>
      <c r="D48" s="29"/>
      <c r="E48" s="27"/>
      <c r="F48" s="27"/>
      <c r="G48" s="27"/>
      <c r="H48" s="27"/>
    </row>
    <row r="49">
      <c r="A49" s="27"/>
      <c r="B49" s="27"/>
      <c r="C49" s="27"/>
      <c r="D49" s="29"/>
      <c r="E49" s="27"/>
      <c r="F49" s="27"/>
      <c r="G49" s="27"/>
      <c r="H49" s="27"/>
    </row>
    <row r="50">
      <c r="A50" s="27"/>
      <c r="B50" s="27"/>
      <c r="C50" s="27"/>
      <c r="D50" s="29"/>
      <c r="E50" s="27"/>
      <c r="F50" s="27"/>
      <c r="G50" s="27"/>
      <c r="H50" s="27"/>
    </row>
  </sheetData>
  <mergeCells count="7">
    <mergeCell ref="A1:H1"/>
    <mergeCell ref="A3:B3"/>
    <mergeCell ref="C3:D3"/>
    <mergeCell ref="E3:H3"/>
    <mergeCell ref="A4:B4"/>
    <mergeCell ref="C4:D4"/>
    <mergeCell ref="E4:H4"/>
  </mergeCells>
  <dataValidations>
    <dataValidation type="decimal" operator="greaterThanOrEqual" allowBlank="1" showDropDown="1" sqref="D7:D50">
      <formula1>0.0</formula1>
    </dataValidation>
    <dataValidation type="list" allowBlank="1" showErrorMessage="1" sqref="C7:C50">
      <formula1>"Material,Mão de Obra,Frete,Acabamento,Imprevisto,Outros"</formula1>
    </dataValidation>
    <dataValidation type="list" allowBlank="1" showErrorMessage="1" sqref="E7:E50">
      <formula1>"Pago,Pendente,Atrasado,Cancelado"</formula1>
    </dataValidation>
    <dataValidation type="list" allowBlank="1" sqref="G7:G50">
      <formula1>"PIX,Cartão de Crédito,Boleto,Dinheiro,Transferência"</formula1>
    </dataValidation>
  </dataValidations>
  <drawing r:id="rId1"/>
  <tableParts count="1">
    <tablePart r:id="rId3"/>
  </tableParts>
</worksheet>
</file>