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rformance\OneDrive\Documentos\VSCODE\reforma-casa\"/>
    </mc:Choice>
  </mc:AlternateContent>
  <xr:revisionPtr revIDLastSave="0" documentId="8_{3EB81DFC-5A7F-44D4-AFF5-E845CA4D3BAA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Empréstimos e Pessoal" sheetId="3" r:id="rId1"/>
    <sheet name="Orçamento Principal" sheetId="1" r:id="rId2"/>
    <sheet name="Extras" sheetId="2" r:id="rId3"/>
  </sheets>
  <definedNames>
    <definedName name="_xlnm._FilterDatabase" localSheetId="0" hidden="1">'Empréstimos e Pessoal'!$A$7:$G$10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3" l="1"/>
  <c r="H86" i="3"/>
  <c r="G86" i="3"/>
  <c r="F86" i="3"/>
  <c r="E86" i="3"/>
  <c r="D86" i="3"/>
  <c r="C86" i="3"/>
  <c r="B86" i="3"/>
  <c r="I85" i="3"/>
  <c r="H85" i="3"/>
  <c r="G85" i="3"/>
  <c r="F85" i="3"/>
  <c r="E85" i="3"/>
  <c r="D85" i="3"/>
  <c r="C85" i="3"/>
  <c r="B85" i="3"/>
  <c r="I84" i="3"/>
  <c r="H84" i="3"/>
  <c r="G84" i="3"/>
  <c r="F84" i="3"/>
  <c r="E84" i="3"/>
  <c r="D84" i="3"/>
  <c r="C84" i="3"/>
  <c r="B84" i="3"/>
  <c r="I83" i="3"/>
  <c r="H83" i="3"/>
  <c r="G83" i="3"/>
  <c r="F83" i="3"/>
  <c r="E83" i="3"/>
  <c r="D83" i="3"/>
  <c r="C83" i="3"/>
  <c r="B83" i="3"/>
  <c r="I82" i="3"/>
  <c r="H82" i="3"/>
  <c r="G82" i="3"/>
  <c r="F82" i="3"/>
  <c r="E82" i="3"/>
  <c r="D82" i="3"/>
  <c r="C82" i="3"/>
  <c r="B82" i="3"/>
  <c r="I81" i="3"/>
  <c r="H81" i="3"/>
  <c r="G81" i="3"/>
  <c r="F81" i="3"/>
  <c r="E81" i="3"/>
  <c r="D81" i="3"/>
  <c r="C81" i="3"/>
  <c r="B81" i="3"/>
  <c r="I80" i="3"/>
  <c r="H80" i="3"/>
  <c r="G80" i="3"/>
  <c r="F80" i="3"/>
  <c r="E80" i="3"/>
  <c r="D80" i="3"/>
  <c r="C80" i="3"/>
  <c r="B80" i="3"/>
  <c r="I79" i="3"/>
  <c r="H79" i="3"/>
  <c r="G79" i="3"/>
  <c r="F79" i="3"/>
  <c r="E79" i="3"/>
  <c r="D79" i="3"/>
  <c r="C79" i="3"/>
  <c r="B79" i="3"/>
  <c r="I78" i="3"/>
  <c r="H78" i="3"/>
  <c r="G78" i="3"/>
  <c r="F78" i="3"/>
  <c r="E78" i="3"/>
  <c r="D78" i="3"/>
  <c r="C78" i="3"/>
  <c r="B78" i="3"/>
  <c r="I77" i="3"/>
  <c r="H77" i="3"/>
  <c r="G77" i="3"/>
  <c r="F77" i="3"/>
  <c r="E77" i="3"/>
  <c r="D77" i="3"/>
  <c r="C77" i="3"/>
  <c r="B77" i="3"/>
  <c r="I76" i="3"/>
  <c r="H76" i="3"/>
  <c r="G76" i="3"/>
  <c r="F76" i="3"/>
  <c r="E76" i="3"/>
  <c r="D76" i="3"/>
  <c r="C76" i="3"/>
  <c r="B76" i="3"/>
  <c r="I75" i="3"/>
  <c r="H75" i="3"/>
  <c r="G75" i="3"/>
  <c r="F75" i="3"/>
  <c r="E75" i="3"/>
  <c r="D75" i="3"/>
  <c r="C75" i="3"/>
  <c r="B75" i="3"/>
  <c r="I74" i="3"/>
  <c r="H74" i="3"/>
  <c r="G74" i="3"/>
  <c r="F74" i="3"/>
  <c r="E74" i="3"/>
  <c r="D74" i="3"/>
  <c r="C74" i="3"/>
  <c r="B74" i="3"/>
  <c r="I73" i="3"/>
  <c r="H73" i="3"/>
  <c r="G73" i="3"/>
  <c r="F73" i="3"/>
  <c r="E73" i="3"/>
  <c r="D73" i="3"/>
  <c r="C73" i="3"/>
  <c r="B73" i="3"/>
  <c r="I72" i="3"/>
  <c r="H72" i="3"/>
  <c r="G72" i="3"/>
  <c r="F72" i="3"/>
  <c r="E72" i="3"/>
  <c r="D72" i="3"/>
  <c r="C72" i="3"/>
  <c r="B72" i="3"/>
  <c r="I71" i="3"/>
  <c r="H71" i="3"/>
  <c r="G71" i="3"/>
  <c r="F71" i="3"/>
  <c r="E71" i="3"/>
  <c r="D71" i="3"/>
  <c r="C71" i="3"/>
  <c r="B71" i="3"/>
  <c r="I70" i="3"/>
  <c r="H70" i="3"/>
  <c r="G70" i="3"/>
  <c r="F70" i="3"/>
  <c r="E70" i="3"/>
  <c r="D70" i="3"/>
  <c r="C70" i="3"/>
  <c r="B70" i="3"/>
  <c r="I69" i="3"/>
  <c r="H69" i="3"/>
  <c r="G69" i="3"/>
  <c r="F69" i="3"/>
  <c r="E69" i="3"/>
  <c r="D69" i="3"/>
  <c r="C69" i="3"/>
  <c r="B69" i="3"/>
  <c r="I68" i="3"/>
  <c r="H68" i="3"/>
  <c r="G68" i="3"/>
  <c r="F68" i="3"/>
  <c r="E68" i="3"/>
  <c r="D68" i="3"/>
  <c r="C68" i="3"/>
  <c r="B68" i="3"/>
  <c r="I67" i="3"/>
  <c r="H67" i="3"/>
  <c r="G67" i="3"/>
  <c r="F67" i="3"/>
  <c r="E67" i="3"/>
  <c r="D67" i="3"/>
  <c r="C67" i="3"/>
  <c r="B67" i="3"/>
  <c r="I66" i="3"/>
  <c r="H66" i="3"/>
  <c r="G66" i="3"/>
  <c r="F66" i="3"/>
  <c r="E66" i="3"/>
  <c r="D66" i="3"/>
  <c r="C66" i="3"/>
  <c r="B66" i="3"/>
  <c r="I65" i="3"/>
  <c r="H65" i="3"/>
  <c r="G65" i="3"/>
  <c r="F65" i="3"/>
  <c r="E65" i="3"/>
  <c r="D65" i="3"/>
  <c r="C65" i="3"/>
  <c r="B65" i="3"/>
  <c r="I64" i="3"/>
  <c r="H64" i="3"/>
  <c r="G64" i="3"/>
  <c r="F64" i="3"/>
  <c r="E64" i="3"/>
  <c r="D64" i="3"/>
  <c r="C64" i="3"/>
  <c r="B64" i="3"/>
  <c r="I63" i="3"/>
  <c r="H63" i="3"/>
  <c r="G63" i="3"/>
  <c r="F63" i="3"/>
  <c r="E63" i="3"/>
  <c r="D63" i="3"/>
  <c r="C63" i="3"/>
  <c r="B63" i="3"/>
  <c r="I62" i="3"/>
  <c r="H62" i="3"/>
  <c r="G62" i="3"/>
  <c r="F62" i="3"/>
  <c r="E62" i="3"/>
  <c r="D62" i="3"/>
  <c r="C62" i="3"/>
  <c r="B62" i="3"/>
  <c r="I61" i="3"/>
  <c r="H61" i="3"/>
  <c r="G61" i="3"/>
  <c r="F61" i="3"/>
  <c r="E61" i="3"/>
  <c r="D61" i="3"/>
  <c r="C61" i="3"/>
  <c r="B61" i="3"/>
  <c r="I60" i="3"/>
  <c r="H60" i="3"/>
  <c r="G60" i="3"/>
  <c r="F60" i="3"/>
  <c r="E60" i="3"/>
  <c r="D60" i="3"/>
  <c r="C60" i="3"/>
  <c r="B60" i="3"/>
  <c r="I59" i="3"/>
  <c r="H59" i="3"/>
  <c r="G59" i="3"/>
  <c r="F59" i="3"/>
  <c r="E59" i="3"/>
  <c r="D59" i="3"/>
  <c r="C59" i="3"/>
  <c r="B59" i="3"/>
  <c r="I58" i="3"/>
  <c r="H58" i="3"/>
  <c r="G58" i="3"/>
  <c r="F58" i="3"/>
  <c r="E58" i="3"/>
  <c r="D58" i="3"/>
  <c r="C58" i="3"/>
  <c r="B58" i="3"/>
  <c r="I57" i="3"/>
  <c r="H57" i="3"/>
  <c r="G57" i="3"/>
  <c r="F57" i="3"/>
  <c r="E57" i="3"/>
  <c r="D57" i="3"/>
  <c r="C57" i="3"/>
  <c r="B57" i="3"/>
  <c r="I56" i="3"/>
  <c r="H56" i="3"/>
  <c r="G56" i="3"/>
  <c r="F56" i="3"/>
  <c r="E56" i="3"/>
  <c r="D56" i="3"/>
  <c r="C56" i="3"/>
  <c r="B56" i="3"/>
  <c r="I55" i="3"/>
  <c r="H55" i="3"/>
  <c r="G55" i="3"/>
  <c r="F55" i="3"/>
  <c r="E55" i="3"/>
  <c r="D55" i="3"/>
  <c r="C55" i="3"/>
  <c r="B55" i="3"/>
  <c r="I54" i="3"/>
  <c r="H54" i="3"/>
  <c r="G54" i="3"/>
  <c r="F54" i="3"/>
  <c r="E54" i="3"/>
  <c r="D54" i="3"/>
  <c r="C54" i="3"/>
  <c r="B54" i="3"/>
  <c r="I53" i="3"/>
  <c r="H53" i="3"/>
  <c r="G53" i="3"/>
  <c r="F53" i="3"/>
  <c r="E53" i="3"/>
  <c r="D53" i="3"/>
  <c r="C53" i="3"/>
  <c r="B53" i="3"/>
  <c r="I52" i="3"/>
  <c r="H52" i="3"/>
  <c r="G52" i="3"/>
  <c r="F52" i="3"/>
  <c r="E52" i="3"/>
  <c r="D52" i="3"/>
  <c r="C52" i="3"/>
  <c r="B52" i="3"/>
  <c r="I51" i="3"/>
  <c r="H51" i="3"/>
  <c r="G51" i="3"/>
  <c r="F51" i="3"/>
  <c r="E51" i="3"/>
  <c r="D51" i="3"/>
  <c r="C51" i="3"/>
  <c r="B51" i="3"/>
  <c r="I50" i="3"/>
  <c r="H50" i="3"/>
  <c r="G50" i="3"/>
  <c r="F50" i="3"/>
  <c r="E50" i="3"/>
  <c r="D50" i="3"/>
  <c r="C50" i="3"/>
  <c r="B50" i="3"/>
  <c r="I49" i="3"/>
  <c r="H49" i="3"/>
  <c r="G49" i="3"/>
  <c r="F49" i="3"/>
  <c r="E49" i="3"/>
  <c r="D49" i="3"/>
  <c r="C49" i="3"/>
  <c r="B49" i="3"/>
  <c r="I48" i="3"/>
  <c r="H48" i="3"/>
  <c r="G48" i="3"/>
  <c r="F48" i="3"/>
  <c r="E48" i="3"/>
  <c r="D48" i="3"/>
  <c r="C48" i="3"/>
  <c r="B48" i="3"/>
  <c r="I47" i="3"/>
  <c r="H47" i="3"/>
  <c r="G47" i="3"/>
  <c r="F47" i="3"/>
  <c r="E47" i="3"/>
  <c r="D47" i="3"/>
  <c r="C47" i="3"/>
  <c r="B47" i="3"/>
  <c r="I46" i="3"/>
  <c r="H46" i="3"/>
  <c r="G46" i="3"/>
  <c r="F46" i="3"/>
  <c r="E46" i="3"/>
  <c r="D46" i="3"/>
  <c r="C46" i="3"/>
  <c r="B46" i="3"/>
  <c r="I45" i="3"/>
  <c r="H45" i="3"/>
  <c r="G45" i="3"/>
  <c r="F45" i="3"/>
  <c r="E45" i="3"/>
  <c r="D45" i="3"/>
  <c r="C45" i="3"/>
  <c r="B45" i="3"/>
  <c r="I44" i="3"/>
  <c r="H44" i="3"/>
  <c r="G44" i="3"/>
  <c r="F44" i="3"/>
  <c r="E44" i="3"/>
  <c r="D44" i="3"/>
  <c r="C44" i="3"/>
  <c r="B44" i="3"/>
  <c r="I43" i="3"/>
  <c r="H43" i="3"/>
  <c r="G43" i="3"/>
  <c r="F43" i="3"/>
  <c r="E43" i="3"/>
  <c r="D43" i="3"/>
  <c r="C43" i="3"/>
  <c r="B43" i="3"/>
  <c r="I42" i="3"/>
  <c r="H42" i="3"/>
  <c r="G42" i="3"/>
  <c r="F42" i="3"/>
  <c r="E42" i="3"/>
  <c r="D42" i="3"/>
  <c r="C42" i="3"/>
  <c r="B42" i="3"/>
  <c r="I41" i="3"/>
  <c r="H41" i="3"/>
  <c r="G41" i="3"/>
  <c r="F41" i="3"/>
  <c r="E41" i="3"/>
  <c r="D41" i="3"/>
  <c r="C41" i="3"/>
  <c r="B41" i="3"/>
  <c r="I40" i="3"/>
  <c r="H40" i="3"/>
  <c r="G40" i="3"/>
  <c r="F40" i="3"/>
  <c r="E40" i="3"/>
  <c r="D40" i="3"/>
  <c r="C40" i="3"/>
  <c r="B40" i="3"/>
  <c r="I39" i="3"/>
  <c r="H39" i="3"/>
  <c r="G39" i="3"/>
  <c r="F39" i="3"/>
  <c r="E39" i="3"/>
  <c r="D39" i="3"/>
  <c r="C39" i="3"/>
  <c r="B39" i="3"/>
  <c r="I38" i="3"/>
  <c r="H38" i="3"/>
  <c r="G38" i="3"/>
  <c r="F38" i="3"/>
  <c r="E38" i="3"/>
  <c r="D38" i="3"/>
  <c r="C38" i="3"/>
  <c r="B38" i="3"/>
  <c r="I37" i="3"/>
  <c r="H37" i="3"/>
  <c r="G37" i="3"/>
  <c r="F37" i="3"/>
  <c r="E37" i="3"/>
  <c r="D37" i="3"/>
  <c r="C37" i="3"/>
  <c r="B37" i="3"/>
  <c r="I36" i="3"/>
  <c r="H36" i="3"/>
  <c r="G36" i="3"/>
  <c r="F36" i="3"/>
  <c r="E36" i="3"/>
  <c r="D36" i="3"/>
  <c r="C36" i="3"/>
  <c r="B36" i="3"/>
  <c r="I35" i="3"/>
  <c r="H35" i="3"/>
  <c r="G35" i="3"/>
  <c r="F35" i="3"/>
  <c r="E35" i="3"/>
  <c r="D35" i="3"/>
  <c r="C35" i="3"/>
  <c r="B35" i="3"/>
  <c r="I34" i="3"/>
  <c r="H34" i="3"/>
  <c r="G34" i="3"/>
  <c r="F34" i="3"/>
  <c r="E34" i="3"/>
  <c r="D34" i="3"/>
  <c r="C34" i="3"/>
  <c r="B34" i="3"/>
  <c r="I33" i="3"/>
  <c r="H33" i="3"/>
  <c r="G33" i="3"/>
  <c r="F33" i="3"/>
  <c r="E33" i="3"/>
  <c r="D33" i="3"/>
  <c r="C33" i="3"/>
  <c r="B33" i="3"/>
  <c r="I32" i="3"/>
  <c r="H32" i="3"/>
  <c r="G32" i="3"/>
  <c r="F32" i="3"/>
  <c r="E32" i="3"/>
  <c r="D32" i="3"/>
  <c r="C32" i="3"/>
  <c r="B32" i="3"/>
  <c r="I31" i="3"/>
  <c r="H31" i="3"/>
  <c r="G31" i="3"/>
  <c r="F31" i="3"/>
  <c r="E31" i="3"/>
  <c r="D31" i="3"/>
  <c r="C31" i="3"/>
  <c r="B31" i="3"/>
  <c r="I30" i="3"/>
  <c r="H30" i="3"/>
  <c r="G30" i="3"/>
  <c r="F30" i="3"/>
  <c r="E30" i="3"/>
  <c r="D30" i="3"/>
  <c r="C30" i="3"/>
  <c r="B30" i="3"/>
  <c r="I29" i="3"/>
  <c r="H29" i="3"/>
  <c r="G29" i="3"/>
  <c r="F29" i="3"/>
  <c r="E29" i="3"/>
  <c r="D29" i="3"/>
  <c r="C29" i="3"/>
  <c r="B29" i="3"/>
  <c r="I28" i="3"/>
  <c r="H28" i="3"/>
  <c r="G28" i="3"/>
  <c r="F28" i="3"/>
  <c r="E28" i="3"/>
  <c r="D28" i="3"/>
  <c r="C28" i="3"/>
  <c r="B28" i="3"/>
  <c r="I27" i="3"/>
  <c r="H27" i="3"/>
  <c r="G27" i="3"/>
  <c r="F27" i="3"/>
  <c r="E27" i="3"/>
  <c r="D27" i="3"/>
  <c r="C27" i="3"/>
  <c r="B27" i="3"/>
  <c r="I26" i="3"/>
  <c r="H26" i="3"/>
  <c r="G26" i="3"/>
  <c r="F26" i="3"/>
  <c r="E26" i="3"/>
  <c r="D26" i="3"/>
  <c r="C26" i="3"/>
  <c r="B26" i="3"/>
  <c r="I25" i="3"/>
  <c r="H25" i="3"/>
  <c r="G25" i="3"/>
  <c r="F25" i="3"/>
  <c r="E25" i="3"/>
  <c r="D25" i="3"/>
  <c r="C25" i="3"/>
  <c r="B25" i="3"/>
  <c r="I24" i="3"/>
  <c r="H24" i="3"/>
  <c r="G24" i="3"/>
  <c r="F24" i="3"/>
  <c r="E24" i="3"/>
  <c r="D24" i="3"/>
  <c r="C24" i="3"/>
  <c r="B24" i="3"/>
  <c r="I23" i="3"/>
  <c r="H23" i="3"/>
  <c r="G23" i="3"/>
  <c r="F23" i="3"/>
  <c r="E23" i="3"/>
  <c r="D23" i="3"/>
  <c r="C23" i="3"/>
  <c r="B23" i="3"/>
  <c r="I22" i="3"/>
  <c r="H22" i="3"/>
  <c r="G22" i="3"/>
  <c r="F22" i="3"/>
  <c r="E22" i="3"/>
  <c r="D22" i="3"/>
  <c r="C22" i="3"/>
  <c r="B22" i="3"/>
  <c r="I21" i="3"/>
  <c r="H21" i="3"/>
  <c r="G21" i="3"/>
  <c r="F21" i="3"/>
  <c r="E21" i="3"/>
  <c r="D21" i="3"/>
  <c r="C21" i="3"/>
  <c r="B21" i="3"/>
  <c r="I20" i="3"/>
  <c r="H20" i="3"/>
  <c r="G20" i="3"/>
  <c r="F20" i="3"/>
  <c r="E20" i="3"/>
  <c r="D20" i="3"/>
  <c r="C20" i="3"/>
  <c r="B20" i="3"/>
  <c r="I19" i="3"/>
  <c r="H19" i="3"/>
  <c r="G19" i="3"/>
  <c r="F19" i="3"/>
  <c r="E19" i="3"/>
  <c r="D19" i="3"/>
  <c r="C19" i="3"/>
  <c r="B19" i="3"/>
  <c r="I18" i="3"/>
  <c r="H18" i="3"/>
  <c r="G18" i="3"/>
  <c r="F18" i="3"/>
  <c r="E18" i="3"/>
  <c r="D18" i="3"/>
  <c r="C18" i="3"/>
  <c r="B18" i="3"/>
  <c r="I17" i="3"/>
  <c r="H17" i="3"/>
  <c r="G17" i="3"/>
  <c r="F17" i="3"/>
  <c r="E17" i="3"/>
  <c r="D17" i="3"/>
  <c r="C17" i="3"/>
  <c r="B17" i="3"/>
  <c r="I16" i="3"/>
  <c r="H16" i="3"/>
  <c r="G16" i="3"/>
  <c r="F16" i="3"/>
  <c r="E16" i="3"/>
  <c r="D16" i="3"/>
  <c r="C16" i="3"/>
  <c r="B16" i="3"/>
  <c r="I15" i="3"/>
  <c r="H15" i="3"/>
  <c r="G15" i="3"/>
  <c r="F15" i="3"/>
  <c r="E15" i="3"/>
  <c r="D15" i="3"/>
  <c r="C15" i="3"/>
  <c r="B15" i="3"/>
  <c r="G9" i="3"/>
  <c r="G10" i="3"/>
  <c r="G8" i="3"/>
  <c r="F9" i="3"/>
  <c r="F10" i="3"/>
  <c r="F8" i="3"/>
  <c r="E4" i="3" s="1"/>
  <c r="G4" i="3"/>
  <c r="C4" i="3"/>
  <c r="A4" i="3"/>
  <c r="E4" i="2"/>
  <c r="C4" i="2"/>
  <c r="A4" i="2"/>
  <c r="D12" i="1"/>
  <c r="D11" i="1"/>
  <c r="D10" i="1"/>
  <c r="D9" i="1"/>
  <c r="D8" i="1"/>
  <c r="D7" i="1"/>
  <c r="D4" i="1"/>
  <c r="F4" i="1" s="1"/>
  <c r="A5" i="1" s="1"/>
</calcChain>
</file>

<file path=xl/sharedStrings.xml><?xml version="1.0" encoding="utf-8"?>
<sst xmlns="http://schemas.openxmlformats.org/spreadsheetml/2006/main" count="70" uniqueCount="52">
  <si>
    <t>RASTREADOR DE EXTRAS DA REFORMA</t>
  </si>
  <si>
    <t>Reforma - Casa 367: Orçamento Principal</t>
  </si>
  <si>
    <t>Orçamento Estimado</t>
  </si>
  <si>
    <t>Total de Extras</t>
  </si>
  <si>
    <t>Limite Máximo</t>
  </si>
  <si>
    <t>Total Pago</t>
  </si>
  <si>
    <t>Valor Pago</t>
  </si>
  <si>
    <t>Saldo Restante</t>
  </si>
  <si>
    <t>Valor Pendente</t>
  </si>
  <si>
    <t>Data</t>
  </si>
  <si>
    <t>Descrição</t>
  </si>
  <si>
    <t>Categoria</t>
  </si>
  <si>
    <t>Valor</t>
  </si>
  <si>
    <t>Parcela</t>
  </si>
  <si>
    <t>Status</t>
  </si>
  <si>
    <t>Fornecedor</t>
  </si>
  <si>
    <t>Forma de Pagamento</t>
  </si>
  <si>
    <t>Observações</t>
  </si>
  <si>
    <t>Cadeado Padro LT-30mm</t>
  </si>
  <si>
    <t>Entrada (20%)</t>
  </si>
  <si>
    <t>Outros</t>
  </si>
  <si>
    <t>Pago</t>
  </si>
  <si>
    <t>Brejãoweb</t>
  </si>
  <si>
    <t>Cartão de Crédito</t>
  </si>
  <si>
    <t>Pedro - comprei para ter 2 chaves do portão antes de começar a obra</t>
  </si>
  <si>
    <t>12% mensal</t>
  </si>
  <si>
    <t>Final da obra/entrega</t>
  </si>
  <si>
    <t>CONTROLE FINANCEIRO — REFORMA CASA 367</t>
  </si>
  <si>
    <t>Total emprestado</t>
  </si>
  <si>
    <t>Parcelas/mês</t>
  </si>
  <si>
    <t>Total a pagar</t>
  </si>
  <si>
    <t>Prazo máximo</t>
  </si>
  <si>
    <t>EMPRÉSTIMOS CONTRATADOS</t>
  </si>
  <si>
    <t>Empréstimo</t>
  </si>
  <si>
    <t>Titular</t>
  </si>
  <si>
    <t>Valor inicial</t>
  </si>
  <si>
    <t>Parcelas</t>
  </si>
  <si>
    <t>Valor da parcela</t>
  </si>
  <si>
    <t>Encargos estimados</t>
  </si>
  <si>
    <t>CAMPOS PESSOAIS (EDITE EM AZUL)</t>
  </si>
  <si>
    <t>Preencha renda e gastos para acompanhar sua sobra mensal.</t>
  </si>
  <si>
    <t>ACOMPANHAMENTO MENSAL — parcelas, despesas pessoais e saldo disponível</t>
  </si>
  <si>
    <t>Mês</t>
  </si>
  <si>
    <t>Casa Brasil</t>
  </si>
  <si>
    <t>Casa Brasil (namorada)</t>
  </si>
  <si>
    <t>Sicoob Credipéu</t>
  </si>
  <si>
    <t>Total empréstimos</t>
  </si>
  <si>
    <t>Renda pessoal</t>
  </si>
  <si>
    <t>Gastos pessoais</t>
  </si>
  <si>
    <t>Sobra do mês</t>
  </si>
  <si>
    <t>Parcelas restantes</t>
  </si>
  <si>
    <t>Nota: “Parcelas restantes” representa a soma das parcelas futuras previstas. O saldo oficial do banco pode diferir por juros, antecipações ou renegociações.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</si>
</sst>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R$&quot;\ #,##0.00;[Red]\-&quot;R$&quot;\ #,##0.00"/>
    <numFmt numFmtId="164" formatCode="&quot;R$&quot;\ #,##0.00"/>
    <numFmt numFmtId="165" formatCode="&quot;R$&quot;#,##0.00"/>
    <numFmt numFmtId="166" formatCode="0\ &quot;meses&quot;"/>
    <numFmt numFmtId="167" formatCode="mmm/yyyy"/>
  </numFmts>
  <fonts count="23" x14ac:knownFonts="1">
    <font>
      <sz val="10"/>
      <color rgb="FF000000"/>
      <name val="Arial"/>
      <scheme val="minor"/>
    </font>
    <font>
      <b/>
      <sz val="16"/>
      <color rgb="FF3A5F8F"/>
      <name val="Montserrat"/>
    </font>
    <font>
      <b/>
      <sz val="24"/>
      <color rgb="FF405F90"/>
      <name val="Montserrat"/>
    </font>
    <font>
      <sz val="10"/>
      <color theme="1"/>
      <name val="Arial"/>
      <scheme val="minor"/>
    </font>
    <font>
      <b/>
      <sz val="10"/>
      <color rgb="FF74777E"/>
      <name val="Roboto"/>
    </font>
    <font>
      <sz val="10"/>
      <name val="Arial"/>
    </font>
    <font>
      <b/>
      <sz val="10"/>
      <color rgb="FF3B4657"/>
      <name val="Montserrat"/>
    </font>
    <font>
      <b/>
      <sz val="16"/>
      <color rgb="FF181C1F"/>
      <name val="Roboto"/>
    </font>
    <font>
      <b/>
      <sz val="14"/>
      <color rgb="FF3A5F8F"/>
      <name val="Roboto"/>
    </font>
    <font>
      <b/>
      <sz val="14"/>
      <color rgb="FF3EC08A"/>
      <name val="Roboto"/>
    </font>
    <font>
      <b/>
      <sz val="14"/>
      <color rgb="FFEA9999"/>
      <name val="Roboto"/>
    </font>
    <font>
      <b/>
      <sz val="12"/>
      <color rgb="FFFF859A"/>
      <name val="Roboto"/>
    </font>
    <font>
      <b/>
      <sz val="10"/>
      <color rgb="FFFFFFFF"/>
      <name val="Montserrat"/>
    </font>
    <font>
      <b/>
      <sz val="11"/>
      <color rgb="FFFFFFFF"/>
      <name val="Montserrat"/>
    </font>
    <font>
      <sz val="10"/>
      <color rgb="FF181C1F"/>
      <name val="Roboto"/>
    </font>
    <font>
      <sz val="10"/>
      <color theme="1"/>
      <name val="Roboto"/>
    </font>
    <font>
      <b/>
      <sz val="16"/>
      <color rgb="FFFFFFFF"/>
      <name val="Aptos"/>
      <family val="2"/>
    </font>
    <font>
      <sz val="10"/>
      <color rgb="FF000000"/>
      <name val="Aptos"/>
      <family val="2"/>
    </font>
    <font>
      <b/>
      <sz val="10"/>
      <color rgb="FFFFFFFF"/>
      <name val="Aptos"/>
      <family val="2"/>
    </font>
    <font>
      <b/>
      <sz val="13"/>
      <color rgb="FF000000"/>
      <name val="Aptos"/>
      <family val="2"/>
    </font>
    <font>
      <b/>
      <sz val="10"/>
      <color rgb="FF0000FF"/>
      <name val="Aptos"/>
      <family val="2"/>
    </font>
    <font>
      <sz val="10"/>
      <color rgb="FF0000FF"/>
      <name val="Aptos"/>
      <family val="2"/>
    </font>
    <font>
      <i/>
      <sz val="10"/>
      <color rgb="FF808080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8F8FF"/>
        <bgColor rgb="FFF8F8FF"/>
      </patternFill>
    </fill>
    <fill>
      <patternFill patternType="solid">
        <fgColor rgb="FFD7E2F8"/>
        <bgColor rgb="FFD7E2F8"/>
      </patternFill>
    </fill>
    <fill>
      <patternFill patternType="solid">
        <fgColor rgb="FF3A5F8F"/>
        <bgColor rgb="FF3A5F8F"/>
      </patternFill>
    </fill>
    <fill>
      <patternFill patternType="solid">
        <fgColor rgb="FF405F90"/>
        <bgColor rgb="FF405F90"/>
      </patternFill>
    </fill>
    <fill>
      <patternFill patternType="solid">
        <fgColor rgb="FF646464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thin">
        <color rgb="FF74777E"/>
      </left>
      <right/>
      <top style="thin">
        <color rgb="FF74777E"/>
      </top>
      <bottom/>
      <diagonal/>
    </border>
    <border>
      <left/>
      <right style="thin">
        <color rgb="FF74777E"/>
      </right>
      <top style="thin">
        <color rgb="FF74777E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74777E"/>
      </left>
      <right/>
      <top/>
      <bottom style="thin">
        <color rgb="FF74777E"/>
      </bottom>
      <diagonal/>
    </border>
    <border>
      <left/>
      <right style="thin">
        <color rgb="FF74777E"/>
      </right>
      <top/>
      <bottom style="thin">
        <color rgb="FF74777E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14" fontId="14" fillId="0" borderId="11" xfId="0" applyNumberFormat="1" applyFont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4" fillId="0" borderId="11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164" fontId="7" fillId="2" borderId="6" xfId="0" applyNumberFormat="1" applyFont="1" applyFill="1" applyBorder="1" applyAlignment="1">
      <alignment horizontal="center" vertical="center"/>
    </xf>
    <xf numFmtId="0" fontId="5" fillId="0" borderId="7" xfId="0" applyFont="1" applyBorder="1"/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165" fontId="8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/>
    <xf numFmtId="165" fontId="9" fillId="3" borderId="8" xfId="0" applyNumberFormat="1" applyFont="1" applyFill="1" applyBorder="1" applyAlignment="1">
      <alignment horizontal="center" vertical="center"/>
    </xf>
    <xf numFmtId="165" fontId="10" fillId="3" borderId="8" xfId="0" applyNumberFormat="1" applyFont="1" applyFill="1" applyBorder="1" applyAlignment="1">
      <alignment horizontal="center" vertical="center"/>
    </xf>
    <xf numFmtId="0" fontId="5" fillId="0" borderId="10" xfId="0" applyFont="1" applyBorder="1"/>
    <xf numFmtId="0" fontId="16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8" fontId="19" fillId="8" borderId="0" xfId="0" applyNumberFormat="1" applyFont="1" applyFill="1" applyAlignment="1">
      <alignment horizontal="right" vertical="center"/>
    </xf>
    <xf numFmtId="166" fontId="19" fillId="8" borderId="0" xfId="0" applyNumberFormat="1" applyFont="1" applyFill="1" applyAlignment="1">
      <alignment horizontal="right" vertical="center"/>
    </xf>
    <xf numFmtId="0" fontId="17" fillId="0" borderId="12" xfId="0" applyFont="1" applyBorder="1" applyAlignment="1">
      <alignment vertical="center"/>
    </xf>
    <xf numFmtId="8" fontId="20" fillId="11" borderId="12" xfId="0" applyNumberFormat="1" applyFont="1" applyFill="1" applyBorder="1" applyAlignment="1">
      <alignment vertical="center"/>
    </xf>
    <xf numFmtId="0" fontId="20" fillId="11" borderId="12" xfId="0" applyFont="1" applyFill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17" fillId="0" borderId="13" xfId="0" applyFont="1" applyBorder="1" applyAlignment="1">
      <alignment vertical="center"/>
    </xf>
    <xf numFmtId="167" fontId="17" fillId="13" borderId="12" xfId="0" applyNumberFormat="1" applyFont="1" applyFill="1" applyBorder="1" applyAlignment="1">
      <alignment vertical="center"/>
    </xf>
    <xf numFmtId="167" fontId="17" fillId="12" borderId="12" xfId="0" applyNumberFormat="1" applyFont="1" applyFill="1" applyBorder="1" applyAlignment="1">
      <alignment vertical="center"/>
    </xf>
    <xf numFmtId="0" fontId="22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10" borderId="12" xfId="0" applyFont="1" applyFill="1" applyBorder="1" applyAlignment="1">
      <alignment horizontal="center" vertical="center"/>
    </xf>
    <xf numFmtId="8" fontId="21" fillId="10" borderId="12" xfId="0" applyNumberFormat="1" applyFont="1" applyFill="1" applyBorder="1" applyAlignment="1">
      <alignment horizontal="center" vertical="center"/>
    </xf>
    <xf numFmtId="0" fontId="21" fillId="10" borderId="12" xfId="0" applyFont="1" applyFill="1" applyBorder="1" applyAlignment="1">
      <alignment horizontal="center" vertical="center"/>
    </xf>
    <xf numFmtId="8" fontId="17" fillId="10" borderId="12" xfId="0" applyNumberFormat="1" applyFont="1" applyFill="1" applyBorder="1" applyAlignment="1">
      <alignment horizontal="center" vertical="center"/>
    </xf>
    <xf numFmtId="8" fontId="17" fillId="12" borderId="1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5"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05F90"/>
          <bgColor rgb="FF405F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</dxfs>
  <tableStyles count="2">
    <tableStyle name="Extras-style" pivot="0" count="2" xr9:uid="{00000000-0011-0000-FFFF-FFFF00000000}">
      <tableStyleElement type="firstRowStripe" dxfId="4"/>
      <tableStyleElement type="secondRowStripe" dxfId="3"/>
    </tableStyle>
    <tableStyle name="Orçamento Principal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Parcelas mensais previstas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'Empréstimos e Pessoal'!$B$14</c:f>
              <c:strCache>
                <c:ptCount val="1"/>
                <c:pt idx="0">
                  <c:v>Casa Brasil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Pessoal'!$B$15:$B$38</c:f>
              <c:numCache>
                <c:formatCode>"R$"#,##0.00_);[Red]\("R$"#,##0.00\)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A4-46B9-A25A-7FAEAB7292E2}"/>
            </c:ext>
          </c:extLst>
        </c:ser>
        <c:ser>
          <c:idx val="1"/>
          <c:order val="1"/>
          <c:tx>
            <c:strRef>
              <c:f>'Empréstimos e Pessoal'!$C$14</c:f>
              <c:strCache>
                <c:ptCount val="1"/>
                <c:pt idx="0">
                  <c:v>Casa Brasil (namorada)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Pessoal'!$C$15:$C$38</c:f>
              <c:numCache>
                <c:formatCode>"R$"#,##0.00_);[Red]\("R$"#,##0.00\)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A4-46B9-A25A-7FAEAB7292E2}"/>
            </c:ext>
          </c:extLst>
        </c:ser>
        <c:ser>
          <c:idx val="2"/>
          <c:order val="2"/>
          <c:tx>
            <c:strRef>
              <c:f>'Empréstimos e Pessoal'!$D$14</c:f>
              <c:strCache>
                <c:ptCount val="1"/>
                <c:pt idx="0">
                  <c:v>Sicoob Credipéu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Pessoal'!$D$15:$D$38</c:f>
              <c:numCache>
                <c:formatCode>"R$"#,##0.00_);[Red]\("R$"#,##0.00\)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A4-46B9-A25A-7FAEAB7292E2}"/>
            </c:ext>
          </c:extLst>
        </c:ser>
        <c:ser>
          <c:idx val="3"/>
          <c:order val="3"/>
          <c:tx>
            <c:strRef>
              <c:f>'Empréstimos e Pessoal'!$E$14</c:f>
              <c:strCache>
                <c:ptCount val="1"/>
                <c:pt idx="0">
                  <c:v>Total empréstimos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Pessoal'!$E$15:$E$38</c:f>
              <c:numCache>
                <c:formatCode>"R$"#,##0.00_);[Red]\("R$"#,##0.00\)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A4-46B9-A25A-7FAEAB729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0189664"/>
        <c:axId val="18691248"/>
      </c:lineChart>
      <c:dateAx>
        <c:axId val="1900189664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crossAx val="18691248"/>
        <c:crosses val="autoZero"/>
        <c:auto val="1"/>
        <c:lblOffset val="100"/>
        <c:baseTimeUnit val="months"/>
      </c:dateAx>
      <c:valAx>
        <c:axId val="18691248"/>
        <c:scaling>
          <c:orientation val="minMax"/>
        </c:scaling>
        <c:delete val="0"/>
        <c:axPos val="l"/>
        <c:majorGridlines/>
        <c:numFmt formatCode="&quot;R$&quot;\ #,##0" sourceLinked="0"/>
        <c:majorTickMark val="out"/>
        <c:minorTickMark val="none"/>
        <c:tickLblPos val="nextTo"/>
        <c:crossAx val="19001896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20</xdr:row>
      <xdr:rowOff>25400</xdr:rowOff>
    </xdr:from>
    <xdr:to>
      <xdr:col>15</xdr:col>
      <xdr:colOff>325120</xdr:colOff>
      <xdr:row>38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0B57E5-2997-6121-81FA-1C73693F2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1" displayName="Table_1" ref="A6:F20">
  <tableColumns count="6">
    <tableColumn id="1" xr3:uid="{00000000-0010-0000-0000-000001000000}" name="Data"/>
    <tableColumn id="2" xr3:uid="{00000000-0010-0000-0000-000002000000}" name="Parcela"/>
    <tableColumn id="3" xr3:uid="{00000000-0010-0000-0000-000003000000}" name="Descrição"/>
    <tableColumn id="4" xr3:uid="{00000000-0010-0000-0000-000004000000}" name="Valor"/>
    <tableColumn id="5" xr3:uid="{00000000-0010-0000-0000-000005000000}" name="Status"/>
    <tableColumn id="6" xr3:uid="{00000000-0010-0000-0000-000006000000}" name="Observações"/>
  </tableColumns>
  <tableStyleInfo name="Orçamento Princip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2" displayName="Table_2" ref="A7:H50" headerRowCount="0">
  <tableColumns count="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</tableColumns>
  <tableStyleInfo name="Extr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171F-F1B2-48B1-B205-7A67A716C197}">
  <dimension ref="A1:L88"/>
  <sheetViews>
    <sheetView showGridLines="0" tabSelected="1" workbookViewId="0">
      <pane ySplit="14" topLeftCell="A15" activePane="bottomLeft" state="frozenSplit"/>
      <selection pane="bottomLeft"/>
    </sheetView>
  </sheetViews>
  <sheetFormatPr defaultRowHeight="13.2" x14ac:dyDescent="0.25"/>
  <cols>
    <col min="1" max="1" width="18.77734375" customWidth="1"/>
    <col min="2" max="2" width="15.77734375" customWidth="1"/>
    <col min="3" max="3" width="23.77734375" customWidth="1"/>
    <col min="4" max="4" width="13.77734375" customWidth="1"/>
    <col min="5" max="5" width="18.77734375" customWidth="1"/>
    <col min="6" max="6" width="16.77734375" customWidth="1"/>
    <col min="7" max="7" width="18.77734375" customWidth="1"/>
    <col min="8" max="8" width="17.77734375" customWidth="1"/>
    <col min="9" max="9" width="25.77734375" customWidth="1"/>
    <col min="10" max="11" width="2.77734375" customWidth="1"/>
    <col min="12" max="12" width="22.77734375" customWidth="1"/>
  </cols>
  <sheetData>
    <row r="1" spans="1:12" ht="28.05" customHeight="1" x14ac:dyDescent="0.25">
      <c r="A1" s="29" t="s">
        <v>27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3.8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13.8" x14ac:dyDescent="0.25">
      <c r="A3" s="31" t="s">
        <v>28</v>
      </c>
      <c r="B3" s="34"/>
      <c r="C3" s="31" t="s">
        <v>29</v>
      </c>
      <c r="D3" s="34"/>
      <c r="E3" s="31" t="s">
        <v>30</v>
      </c>
      <c r="F3" s="34"/>
      <c r="G3" s="31" t="s">
        <v>31</v>
      </c>
      <c r="H3" s="34"/>
      <c r="I3" s="34"/>
      <c r="J3" s="34"/>
      <c r="K3" s="34"/>
      <c r="L3" s="34"/>
    </row>
    <row r="4" spans="1:12" ht="17.399999999999999" x14ac:dyDescent="0.25">
      <c r="A4" s="35">
        <f>SUM(C8:C10)</f>
        <v>0</v>
      </c>
      <c r="B4" s="34"/>
      <c r="C4" s="35" t="e">
        <f>SUM(E8:E10)</f>
        <v>#N/A</v>
      </c>
      <c r="D4" s="34"/>
      <c r="E4" s="35" t="e">
        <f>SUM(F8:F10)</f>
        <v>#N/A</v>
      </c>
      <c r="F4" s="34"/>
      <c r="G4" s="36" t="e">
        <f>MAX(D8:D10)</f>
        <v>#N/A</v>
      </c>
      <c r="H4" s="34"/>
      <c r="I4" s="34"/>
      <c r="J4" s="34"/>
      <c r="K4" s="34"/>
      <c r="L4" s="34"/>
    </row>
    <row r="5" spans="1:12" ht="13.8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ht="13.8" x14ac:dyDescent="0.25">
      <c r="A6" s="32" t="s">
        <v>32</v>
      </c>
      <c r="B6" s="32"/>
      <c r="C6" s="32"/>
      <c r="D6" s="32"/>
      <c r="E6" s="32"/>
      <c r="F6" s="32"/>
      <c r="G6" s="32"/>
      <c r="H6" s="34"/>
      <c r="I6" s="32" t="s">
        <v>39</v>
      </c>
      <c r="J6" s="32"/>
      <c r="K6" s="32"/>
      <c r="L6" s="32"/>
    </row>
    <row r="7" spans="1:12" ht="13.8" x14ac:dyDescent="0.25">
      <c r="A7" s="33" t="s">
        <v>33</v>
      </c>
      <c r="B7" s="33" t="s">
        <v>34</v>
      </c>
      <c r="C7" s="33" t="s">
        <v>35</v>
      </c>
      <c r="D7" s="33" t="s">
        <v>36</v>
      </c>
      <c r="E7" s="33" t="s">
        <v>37</v>
      </c>
      <c r="F7" s="33" t="s">
        <v>30</v>
      </c>
      <c r="G7" s="33" t="s">
        <v>38</v>
      </c>
      <c r="H7" s="34"/>
      <c r="I7" s="37"/>
      <c r="J7" s="37"/>
      <c r="K7" s="37"/>
      <c r="L7" s="38">
        <v>0</v>
      </c>
    </row>
    <row r="8" spans="1:12" ht="13.8" x14ac:dyDescent="0.25">
      <c r="A8" s="46"/>
      <c r="B8" s="46"/>
      <c r="C8" s="47"/>
      <c r="D8" s="48" t="e">
        <v>#N/A</v>
      </c>
      <c r="E8" s="47" t="e">
        <v>#N/A</v>
      </c>
      <c r="F8" s="49" t="e">
        <f>D8*E8</f>
        <v>#N/A</v>
      </c>
      <c r="G8" s="49" t="e">
        <f>F8-C8</f>
        <v>#N/A</v>
      </c>
      <c r="H8" s="34"/>
      <c r="I8" s="37"/>
      <c r="J8" s="37"/>
      <c r="K8" s="37"/>
      <c r="L8" s="38">
        <v>0</v>
      </c>
    </row>
    <row r="9" spans="1:12" ht="13.8" x14ac:dyDescent="0.25">
      <c r="A9" s="46"/>
      <c r="B9" s="46"/>
      <c r="C9" s="47"/>
      <c r="D9" s="48" t="e">
        <v>#N/A</v>
      </c>
      <c r="E9" s="47" t="e">
        <v>#N/A</v>
      </c>
      <c r="F9" s="49" t="e">
        <f t="shared" ref="F9:F10" si="0">D9*E9</f>
        <v>#N/A</v>
      </c>
      <c r="G9" s="49" t="e">
        <f t="shared" ref="G9:G10" si="1">F9-C9</f>
        <v>#N/A</v>
      </c>
      <c r="H9" s="34"/>
      <c r="I9" s="37"/>
      <c r="J9" s="37"/>
      <c r="K9" s="37"/>
      <c r="L9" s="38">
        <v>0</v>
      </c>
    </row>
    <row r="10" spans="1:12" ht="13.8" x14ac:dyDescent="0.25">
      <c r="A10" s="46"/>
      <c r="B10" s="46"/>
      <c r="C10" s="47"/>
      <c r="D10" s="48" t="e">
        <v>#N/A</v>
      </c>
      <c r="E10" s="47" t="e">
        <v>#N/A</v>
      </c>
      <c r="F10" s="49" t="e">
        <f t="shared" si="0"/>
        <v>#N/A</v>
      </c>
      <c r="G10" s="49" t="e">
        <f t="shared" si="1"/>
        <v>#N/A</v>
      </c>
      <c r="H10" s="34"/>
      <c r="I10" s="37"/>
      <c r="J10" s="37"/>
      <c r="K10" s="37"/>
      <c r="L10" s="39"/>
    </row>
    <row r="11" spans="1:12" ht="13.8" x14ac:dyDescent="0.25">
      <c r="A11" s="34"/>
      <c r="B11" s="34"/>
      <c r="C11" s="34"/>
      <c r="D11" s="34"/>
      <c r="E11" s="34"/>
      <c r="F11" s="34"/>
      <c r="G11" s="34"/>
      <c r="H11" s="34"/>
      <c r="I11" s="40" t="s">
        <v>40</v>
      </c>
      <c r="J11" s="41"/>
      <c r="K11" s="41"/>
      <c r="L11" s="41"/>
    </row>
    <row r="12" spans="1:12" ht="13.8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spans="1:12" ht="13.8" x14ac:dyDescent="0.25">
      <c r="A13" s="32" t="s">
        <v>41</v>
      </c>
      <c r="B13" s="32"/>
      <c r="C13" s="32"/>
      <c r="D13" s="32"/>
      <c r="E13" s="32"/>
      <c r="F13" s="32"/>
      <c r="G13" s="32"/>
      <c r="H13" s="32"/>
      <c r="I13" s="32"/>
      <c r="J13" s="34"/>
      <c r="K13" s="34"/>
      <c r="L13" s="34"/>
    </row>
    <row r="14" spans="1:12" ht="13.8" x14ac:dyDescent="0.25">
      <c r="A14" s="33" t="s">
        <v>42</v>
      </c>
      <c r="B14" s="33" t="s">
        <v>43</v>
      </c>
      <c r="C14" s="33" t="s">
        <v>44</v>
      </c>
      <c r="D14" s="33" t="s">
        <v>45</v>
      </c>
      <c r="E14" s="33" t="s">
        <v>46</v>
      </c>
      <c r="F14" s="33" t="s">
        <v>47</v>
      </c>
      <c r="G14" s="33" t="s">
        <v>48</v>
      </c>
      <c r="H14" s="33" t="s">
        <v>49</v>
      </c>
      <c r="I14" s="33" t="s">
        <v>50</v>
      </c>
      <c r="J14" s="34"/>
      <c r="K14" s="34"/>
      <c r="L14" s="34"/>
    </row>
    <row r="15" spans="1:12" ht="13.8" x14ac:dyDescent="0.25">
      <c r="A15" s="42">
        <v>46235</v>
      </c>
      <c r="B15" s="50" t="e">
        <f>IF(ROW()-14&lt;=$D$8,$E$8,0)</f>
        <v>#N/A</v>
      </c>
      <c r="C15" s="50" t="e">
        <f>IF(ROW()-14&lt;=$D$9,$E$9,0)</f>
        <v>#N/A</v>
      </c>
      <c r="D15" s="50" t="e">
        <f>IF(ROW()-14&lt;=$D$10,$E$10,0)</f>
        <v>#N/A</v>
      </c>
      <c r="E15" s="50" t="e">
        <f>SUM(B15)</f>
        <v>#N/A</v>
      </c>
      <c r="F15" s="50">
        <f>$L$7</f>
        <v>0</v>
      </c>
      <c r="G15" s="50">
        <f>$L$8</f>
        <v>0</v>
      </c>
      <c r="H15" s="50" t="e">
        <f>F15-G15-E15</f>
        <v>#N/A</v>
      </c>
      <c r="I15" s="50" t="e">
        <f>MAX(0,($D$8-(ROW()-14))*$E$8)+MAX(0,($D$9-(ROW()-14))*$E$9)+MAX(0,($D$10-(ROW()-14))*$E$10)</f>
        <v>#N/A</v>
      </c>
      <c r="J15" s="34"/>
      <c r="K15" s="34"/>
      <c r="L15" s="34"/>
    </row>
    <row r="16" spans="1:12" ht="13.8" x14ac:dyDescent="0.25">
      <c r="A16" s="43">
        <v>46266</v>
      </c>
      <c r="B16" s="50" t="e">
        <f>IF(ROW()-14&lt;=$D$8,$E$8,0)</f>
        <v>#N/A</v>
      </c>
      <c r="C16" s="50" t="e">
        <f>IF(ROW()-14&lt;=$D$9,$E$9,0)</f>
        <v>#N/A</v>
      </c>
      <c r="D16" s="50" t="e">
        <f>IF(ROW()-14&lt;=$D$10,$E$10,0)</f>
        <v>#N/A</v>
      </c>
      <c r="E16" s="50" t="e">
        <f>SUM(B16)</f>
        <v>#N/A</v>
      </c>
      <c r="F16" s="50">
        <f>$L$7</f>
        <v>0</v>
      </c>
      <c r="G16" s="50">
        <f>$L$8</f>
        <v>0</v>
      </c>
      <c r="H16" s="50" t="e">
        <f>F16-G16-E16</f>
        <v>#N/A</v>
      </c>
      <c r="I16" s="50" t="e">
        <f>MAX(0,($D$8-(ROW()-14))*$E$8)+MAX(0,($D$9-(ROW()-14))*$E$9)+MAX(0,($D$10-(ROW()-14))*$E$10)</f>
        <v>#N/A</v>
      </c>
      <c r="J16" s="34"/>
      <c r="K16" s="34"/>
      <c r="L16" s="34"/>
    </row>
    <row r="17" spans="1:12" ht="13.8" x14ac:dyDescent="0.25">
      <c r="A17" s="42">
        <v>46296</v>
      </c>
      <c r="B17" s="50" t="e">
        <f>IF(ROW()-14&lt;=$D$8,$E$8,0)</f>
        <v>#N/A</v>
      </c>
      <c r="C17" s="50" t="e">
        <f>IF(ROW()-14&lt;=$D$9,$E$9,0)</f>
        <v>#N/A</v>
      </c>
      <c r="D17" s="50" t="e">
        <f>IF(ROW()-14&lt;=$D$10,$E$10,0)</f>
        <v>#N/A</v>
      </c>
      <c r="E17" s="50" t="e">
        <f>SUM(B17)</f>
        <v>#N/A</v>
      </c>
      <c r="F17" s="50">
        <f>$L$7</f>
        <v>0</v>
      </c>
      <c r="G17" s="50">
        <f>$L$8</f>
        <v>0</v>
      </c>
      <c r="H17" s="50" t="e">
        <f>F17-G17-E17</f>
        <v>#N/A</v>
      </c>
      <c r="I17" s="50" t="e">
        <f>MAX(0,($D$8-(ROW()-14))*$E$8)+MAX(0,($D$9-(ROW()-14))*$E$9)+MAX(0,($D$10-(ROW()-14))*$E$10)</f>
        <v>#N/A</v>
      </c>
      <c r="J17" s="34"/>
      <c r="K17" s="34"/>
      <c r="L17" s="34"/>
    </row>
    <row r="18" spans="1:12" ht="13.8" x14ac:dyDescent="0.25">
      <c r="A18" s="43">
        <v>46327</v>
      </c>
      <c r="B18" s="50" t="e">
        <f>IF(ROW()-14&lt;=$D$8,$E$8,0)</f>
        <v>#N/A</v>
      </c>
      <c r="C18" s="50" t="e">
        <f>IF(ROW()-14&lt;=$D$9,$E$9,0)</f>
        <v>#N/A</v>
      </c>
      <c r="D18" s="50" t="e">
        <f>IF(ROW()-14&lt;=$D$10,$E$10,0)</f>
        <v>#N/A</v>
      </c>
      <c r="E18" s="50" t="e">
        <f>SUM(B18)</f>
        <v>#N/A</v>
      </c>
      <c r="F18" s="50">
        <f>$L$7</f>
        <v>0</v>
      </c>
      <c r="G18" s="50">
        <f>$L$8</f>
        <v>0</v>
      </c>
      <c r="H18" s="50" t="e">
        <f>F18-G18-E18</f>
        <v>#N/A</v>
      </c>
      <c r="I18" s="50" t="e">
        <f>MAX(0,($D$8-(ROW()-14))*$E$8)+MAX(0,($D$9-(ROW()-14))*$E$9)+MAX(0,($D$10-(ROW()-14))*$E$10)</f>
        <v>#N/A</v>
      </c>
      <c r="J18" s="34"/>
      <c r="K18" s="34"/>
      <c r="L18" s="34"/>
    </row>
    <row r="19" spans="1:12" ht="13.8" x14ac:dyDescent="0.25">
      <c r="A19" s="42">
        <v>46357</v>
      </c>
      <c r="B19" s="50" t="e">
        <f>IF(ROW()-14&lt;=$D$8,$E$8,0)</f>
        <v>#N/A</v>
      </c>
      <c r="C19" s="50" t="e">
        <f>IF(ROW()-14&lt;=$D$9,$E$9,0)</f>
        <v>#N/A</v>
      </c>
      <c r="D19" s="50" t="e">
        <f>IF(ROW()-14&lt;=$D$10,$E$10,0)</f>
        <v>#N/A</v>
      </c>
      <c r="E19" s="50" t="e">
        <f>SUM(B19)</f>
        <v>#N/A</v>
      </c>
      <c r="F19" s="50">
        <f>$L$7</f>
        <v>0</v>
      </c>
      <c r="G19" s="50">
        <f>$L$8</f>
        <v>0</v>
      </c>
      <c r="H19" s="50" t="e">
        <f>F19-G19-E19</f>
        <v>#N/A</v>
      </c>
      <c r="I19" s="50" t="e">
        <f>MAX(0,($D$8-(ROW()-14))*$E$8)+MAX(0,($D$9-(ROW()-14))*$E$9)+MAX(0,($D$10-(ROW()-14))*$E$10)</f>
        <v>#N/A</v>
      </c>
      <c r="J19" s="34"/>
      <c r="K19" s="34"/>
      <c r="L19" s="34"/>
    </row>
    <row r="20" spans="1:12" ht="13.8" x14ac:dyDescent="0.25">
      <c r="A20" s="43">
        <v>46388</v>
      </c>
      <c r="B20" s="50" t="e">
        <f>IF(ROW()-14&lt;=$D$8,$E$8,0)</f>
        <v>#N/A</v>
      </c>
      <c r="C20" s="50" t="e">
        <f>IF(ROW()-14&lt;=$D$9,$E$9,0)</f>
        <v>#N/A</v>
      </c>
      <c r="D20" s="50" t="e">
        <f>IF(ROW()-14&lt;=$D$10,$E$10,0)</f>
        <v>#N/A</v>
      </c>
      <c r="E20" s="50" t="e">
        <f>SUM(B20)</f>
        <v>#N/A</v>
      </c>
      <c r="F20" s="50">
        <f>$L$7</f>
        <v>0</v>
      </c>
      <c r="G20" s="50">
        <f>$L$8</f>
        <v>0</v>
      </c>
      <c r="H20" s="50" t="e">
        <f>F20-G20-E20</f>
        <v>#N/A</v>
      </c>
      <c r="I20" s="50" t="e">
        <f>MAX(0,($D$8-(ROW()-14))*$E$8)+MAX(0,($D$9-(ROW()-14))*$E$9)+MAX(0,($D$10-(ROW()-14))*$E$10)</f>
        <v>#N/A</v>
      </c>
      <c r="J20" s="34"/>
      <c r="K20" s="34"/>
      <c r="L20" s="34"/>
    </row>
    <row r="21" spans="1:12" ht="13.8" x14ac:dyDescent="0.25">
      <c r="A21" s="42">
        <v>46419</v>
      </c>
      <c r="B21" s="50" t="e">
        <f>IF(ROW()-14&lt;=$D$8,$E$8,0)</f>
        <v>#N/A</v>
      </c>
      <c r="C21" s="50" t="e">
        <f>IF(ROW()-14&lt;=$D$9,$E$9,0)</f>
        <v>#N/A</v>
      </c>
      <c r="D21" s="50" t="e">
        <f>IF(ROW()-14&lt;=$D$10,$E$10,0)</f>
        <v>#N/A</v>
      </c>
      <c r="E21" s="50" t="e">
        <f>SUM(B21)</f>
        <v>#N/A</v>
      </c>
      <c r="F21" s="50">
        <f>$L$7</f>
        <v>0</v>
      </c>
      <c r="G21" s="50">
        <f>$L$8</f>
        <v>0</v>
      </c>
      <c r="H21" s="50" t="e">
        <f>F21-G21-E21</f>
        <v>#N/A</v>
      </c>
      <c r="I21" s="50" t="e">
        <f>MAX(0,($D$8-(ROW()-14))*$E$8)+MAX(0,($D$9-(ROW()-14))*$E$9)+MAX(0,($D$10-(ROW()-14))*$E$10)</f>
        <v>#N/A</v>
      </c>
      <c r="J21" s="34"/>
      <c r="K21" s="34"/>
      <c r="L21" s="34"/>
    </row>
    <row r="22" spans="1:12" ht="13.8" x14ac:dyDescent="0.25">
      <c r="A22" s="43">
        <v>46447</v>
      </c>
      <c r="B22" s="50" t="e">
        <f>IF(ROW()-14&lt;=$D$8,$E$8,0)</f>
        <v>#N/A</v>
      </c>
      <c r="C22" s="50" t="e">
        <f>IF(ROW()-14&lt;=$D$9,$E$9,0)</f>
        <v>#N/A</v>
      </c>
      <c r="D22" s="50" t="e">
        <f>IF(ROW()-14&lt;=$D$10,$E$10,0)</f>
        <v>#N/A</v>
      </c>
      <c r="E22" s="50" t="e">
        <f>SUM(B22)</f>
        <v>#N/A</v>
      </c>
      <c r="F22" s="50">
        <f>$L$7</f>
        <v>0</v>
      </c>
      <c r="G22" s="50">
        <f>$L$8</f>
        <v>0</v>
      </c>
      <c r="H22" s="50" t="e">
        <f>F22-G22-E22</f>
        <v>#N/A</v>
      </c>
      <c r="I22" s="50" t="e">
        <f>MAX(0,($D$8-(ROW()-14))*$E$8)+MAX(0,($D$9-(ROW()-14))*$E$9)+MAX(0,($D$10-(ROW()-14))*$E$10)</f>
        <v>#N/A</v>
      </c>
      <c r="J22" s="34"/>
      <c r="K22" s="34"/>
      <c r="L22" s="34"/>
    </row>
    <row r="23" spans="1:12" ht="13.8" x14ac:dyDescent="0.25">
      <c r="A23" s="42">
        <v>46478</v>
      </c>
      <c r="B23" s="50" t="e">
        <f>IF(ROW()-14&lt;=$D$8,$E$8,0)</f>
        <v>#N/A</v>
      </c>
      <c r="C23" s="50" t="e">
        <f>IF(ROW()-14&lt;=$D$9,$E$9,0)</f>
        <v>#N/A</v>
      </c>
      <c r="D23" s="50" t="e">
        <f>IF(ROW()-14&lt;=$D$10,$E$10,0)</f>
        <v>#N/A</v>
      </c>
      <c r="E23" s="50" t="e">
        <f>SUM(B23)</f>
        <v>#N/A</v>
      </c>
      <c r="F23" s="50">
        <f>$L$7</f>
        <v>0</v>
      </c>
      <c r="G23" s="50">
        <f>$L$8</f>
        <v>0</v>
      </c>
      <c r="H23" s="50" t="e">
        <f>F23-G23-E23</f>
        <v>#N/A</v>
      </c>
      <c r="I23" s="50" t="e">
        <f>MAX(0,($D$8-(ROW()-14))*$E$8)+MAX(0,($D$9-(ROW()-14))*$E$9)+MAX(0,($D$10-(ROW()-14))*$E$10)</f>
        <v>#N/A</v>
      </c>
      <c r="J23" s="34"/>
      <c r="K23" s="34"/>
      <c r="L23" s="34"/>
    </row>
    <row r="24" spans="1:12" ht="13.8" x14ac:dyDescent="0.25">
      <c r="A24" s="43">
        <v>46508</v>
      </c>
      <c r="B24" s="50" t="e">
        <f>IF(ROW()-14&lt;=$D$8,$E$8,0)</f>
        <v>#N/A</v>
      </c>
      <c r="C24" s="50" t="e">
        <f>IF(ROW()-14&lt;=$D$9,$E$9,0)</f>
        <v>#N/A</v>
      </c>
      <c r="D24" s="50" t="e">
        <f>IF(ROW()-14&lt;=$D$10,$E$10,0)</f>
        <v>#N/A</v>
      </c>
      <c r="E24" s="50" t="e">
        <f>SUM(B24)</f>
        <v>#N/A</v>
      </c>
      <c r="F24" s="50">
        <f>$L$7</f>
        <v>0</v>
      </c>
      <c r="G24" s="50">
        <f>$L$8</f>
        <v>0</v>
      </c>
      <c r="H24" s="50" t="e">
        <f>F24-G24-E24</f>
        <v>#N/A</v>
      </c>
      <c r="I24" s="50" t="e">
        <f>MAX(0,($D$8-(ROW()-14))*$E$8)+MAX(0,($D$9-(ROW()-14))*$E$9)+MAX(0,($D$10-(ROW()-14))*$E$10)</f>
        <v>#N/A</v>
      </c>
      <c r="J24" s="34"/>
      <c r="K24" s="34"/>
      <c r="L24" s="34"/>
    </row>
    <row r="25" spans="1:12" ht="13.8" x14ac:dyDescent="0.25">
      <c r="A25" s="42">
        <v>46539</v>
      </c>
      <c r="B25" s="50" t="e">
        <f>IF(ROW()-14&lt;=$D$8,$E$8,0)</f>
        <v>#N/A</v>
      </c>
      <c r="C25" s="50" t="e">
        <f>IF(ROW()-14&lt;=$D$9,$E$9,0)</f>
        <v>#N/A</v>
      </c>
      <c r="D25" s="50" t="e">
        <f>IF(ROW()-14&lt;=$D$10,$E$10,0)</f>
        <v>#N/A</v>
      </c>
      <c r="E25" s="50" t="e">
        <f>SUM(B25)</f>
        <v>#N/A</v>
      </c>
      <c r="F25" s="50">
        <f>$L$7</f>
        <v>0</v>
      </c>
      <c r="G25" s="50">
        <f>$L$8</f>
        <v>0</v>
      </c>
      <c r="H25" s="50" t="e">
        <f>F25-G25-E25</f>
        <v>#N/A</v>
      </c>
      <c r="I25" s="50" t="e">
        <f>MAX(0,($D$8-(ROW()-14))*$E$8)+MAX(0,($D$9-(ROW()-14))*$E$9)+MAX(0,($D$10-(ROW()-14))*$E$10)</f>
        <v>#N/A</v>
      </c>
      <c r="J25" s="34"/>
      <c r="K25" s="34"/>
      <c r="L25" s="34"/>
    </row>
    <row r="26" spans="1:12" ht="13.8" x14ac:dyDescent="0.25">
      <c r="A26" s="43">
        <v>46569</v>
      </c>
      <c r="B26" s="50" t="e">
        <f>IF(ROW()-14&lt;=$D$8,$E$8,0)</f>
        <v>#N/A</v>
      </c>
      <c r="C26" s="50" t="e">
        <f>IF(ROW()-14&lt;=$D$9,$E$9,0)</f>
        <v>#N/A</v>
      </c>
      <c r="D26" s="50" t="e">
        <f>IF(ROW()-14&lt;=$D$10,$E$10,0)</f>
        <v>#N/A</v>
      </c>
      <c r="E26" s="50" t="e">
        <f>SUM(B26)</f>
        <v>#N/A</v>
      </c>
      <c r="F26" s="50">
        <f>$L$7</f>
        <v>0</v>
      </c>
      <c r="G26" s="50">
        <f>$L$8</f>
        <v>0</v>
      </c>
      <c r="H26" s="50" t="e">
        <f>F26-G26-E26</f>
        <v>#N/A</v>
      </c>
      <c r="I26" s="50" t="e">
        <f>MAX(0,($D$8-(ROW()-14))*$E$8)+MAX(0,($D$9-(ROW()-14))*$E$9)+MAX(0,($D$10-(ROW()-14))*$E$10)</f>
        <v>#N/A</v>
      </c>
      <c r="J26" s="34"/>
      <c r="K26" s="34"/>
      <c r="L26" s="34"/>
    </row>
    <row r="27" spans="1:12" ht="13.8" x14ac:dyDescent="0.25">
      <c r="A27" s="42">
        <v>46600</v>
      </c>
      <c r="B27" s="50" t="e">
        <f>IF(ROW()-14&lt;=$D$8,$E$8,0)</f>
        <v>#N/A</v>
      </c>
      <c r="C27" s="50" t="e">
        <f>IF(ROW()-14&lt;=$D$9,$E$9,0)</f>
        <v>#N/A</v>
      </c>
      <c r="D27" s="50" t="e">
        <f>IF(ROW()-14&lt;=$D$10,$E$10,0)</f>
        <v>#N/A</v>
      </c>
      <c r="E27" s="50" t="e">
        <f>SUM(B27)</f>
        <v>#N/A</v>
      </c>
      <c r="F27" s="50">
        <f>$L$7</f>
        <v>0</v>
      </c>
      <c r="G27" s="50">
        <f>$L$8</f>
        <v>0</v>
      </c>
      <c r="H27" s="50" t="e">
        <f>F27-G27-E27</f>
        <v>#N/A</v>
      </c>
      <c r="I27" s="50" t="e">
        <f>MAX(0,($D$8-(ROW()-14))*$E$8)+MAX(0,($D$9-(ROW()-14))*$E$9)+MAX(0,($D$10-(ROW()-14))*$E$10)</f>
        <v>#N/A</v>
      </c>
      <c r="J27" s="34"/>
      <c r="K27" s="34"/>
      <c r="L27" s="34"/>
    </row>
    <row r="28" spans="1:12" ht="13.8" x14ac:dyDescent="0.25">
      <c r="A28" s="43">
        <v>46631</v>
      </c>
      <c r="B28" s="50" t="e">
        <f>IF(ROW()-14&lt;=$D$8,$E$8,0)</f>
        <v>#N/A</v>
      </c>
      <c r="C28" s="50" t="e">
        <f>IF(ROW()-14&lt;=$D$9,$E$9,0)</f>
        <v>#N/A</v>
      </c>
      <c r="D28" s="50" t="e">
        <f>IF(ROW()-14&lt;=$D$10,$E$10,0)</f>
        <v>#N/A</v>
      </c>
      <c r="E28" s="50" t="e">
        <f>SUM(B28)</f>
        <v>#N/A</v>
      </c>
      <c r="F28" s="50">
        <f>$L$7</f>
        <v>0</v>
      </c>
      <c r="G28" s="50">
        <f>$L$8</f>
        <v>0</v>
      </c>
      <c r="H28" s="50" t="e">
        <f>F28-G28-E28</f>
        <v>#N/A</v>
      </c>
      <c r="I28" s="50" t="e">
        <f>MAX(0,($D$8-(ROW()-14))*$E$8)+MAX(0,($D$9-(ROW()-14))*$E$9)+MAX(0,($D$10-(ROW()-14))*$E$10)</f>
        <v>#N/A</v>
      </c>
      <c r="J28" s="34"/>
      <c r="K28" s="34"/>
      <c r="L28" s="34"/>
    </row>
    <row r="29" spans="1:12" ht="13.8" x14ac:dyDescent="0.25">
      <c r="A29" s="42">
        <v>46661</v>
      </c>
      <c r="B29" s="50" t="e">
        <f>IF(ROW()-14&lt;=$D$8,$E$8,0)</f>
        <v>#N/A</v>
      </c>
      <c r="C29" s="50" t="e">
        <f>IF(ROW()-14&lt;=$D$9,$E$9,0)</f>
        <v>#N/A</v>
      </c>
      <c r="D29" s="50" t="e">
        <f>IF(ROW()-14&lt;=$D$10,$E$10,0)</f>
        <v>#N/A</v>
      </c>
      <c r="E29" s="50" t="e">
        <f>SUM(B29)</f>
        <v>#N/A</v>
      </c>
      <c r="F29" s="50">
        <f>$L$7</f>
        <v>0</v>
      </c>
      <c r="G29" s="50">
        <f>$L$8</f>
        <v>0</v>
      </c>
      <c r="H29" s="50" t="e">
        <f>F29-G29-E29</f>
        <v>#N/A</v>
      </c>
      <c r="I29" s="50" t="e">
        <f>MAX(0,($D$8-(ROW()-14))*$E$8)+MAX(0,($D$9-(ROW()-14))*$E$9)+MAX(0,($D$10-(ROW()-14))*$E$10)</f>
        <v>#N/A</v>
      </c>
      <c r="J29" s="34"/>
      <c r="K29" s="34"/>
      <c r="L29" s="34"/>
    </row>
    <row r="30" spans="1:12" ht="13.8" x14ac:dyDescent="0.25">
      <c r="A30" s="43">
        <v>46692</v>
      </c>
      <c r="B30" s="50" t="e">
        <f>IF(ROW()-14&lt;=$D$8,$E$8,0)</f>
        <v>#N/A</v>
      </c>
      <c r="C30" s="50" t="e">
        <f>IF(ROW()-14&lt;=$D$9,$E$9,0)</f>
        <v>#N/A</v>
      </c>
      <c r="D30" s="50" t="e">
        <f>IF(ROW()-14&lt;=$D$10,$E$10,0)</f>
        <v>#N/A</v>
      </c>
      <c r="E30" s="50" t="e">
        <f>SUM(B30)</f>
        <v>#N/A</v>
      </c>
      <c r="F30" s="50">
        <f>$L$7</f>
        <v>0</v>
      </c>
      <c r="G30" s="50">
        <f>$L$8</f>
        <v>0</v>
      </c>
      <c r="H30" s="50" t="e">
        <f>F30-G30-E30</f>
        <v>#N/A</v>
      </c>
      <c r="I30" s="50" t="e">
        <f>MAX(0,($D$8-(ROW()-14))*$E$8)+MAX(0,($D$9-(ROW()-14))*$E$9)+MAX(0,($D$10-(ROW()-14))*$E$10)</f>
        <v>#N/A</v>
      </c>
      <c r="J30" s="34"/>
      <c r="K30" s="34"/>
      <c r="L30" s="34"/>
    </row>
    <row r="31" spans="1:12" ht="13.8" x14ac:dyDescent="0.25">
      <c r="A31" s="42">
        <v>46722</v>
      </c>
      <c r="B31" s="50" t="e">
        <f>IF(ROW()-14&lt;=$D$8,$E$8,0)</f>
        <v>#N/A</v>
      </c>
      <c r="C31" s="50" t="e">
        <f>IF(ROW()-14&lt;=$D$9,$E$9,0)</f>
        <v>#N/A</v>
      </c>
      <c r="D31" s="50" t="e">
        <f>IF(ROW()-14&lt;=$D$10,$E$10,0)</f>
        <v>#N/A</v>
      </c>
      <c r="E31" s="50" t="e">
        <f>SUM(B31)</f>
        <v>#N/A</v>
      </c>
      <c r="F31" s="50">
        <f>$L$7</f>
        <v>0</v>
      </c>
      <c r="G31" s="50">
        <f>$L$8</f>
        <v>0</v>
      </c>
      <c r="H31" s="50" t="e">
        <f>F31-G31-E31</f>
        <v>#N/A</v>
      </c>
      <c r="I31" s="50" t="e">
        <f>MAX(0,($D$8-(ROW()-14))*$E$8)+MAX(0,($D$9-(ROW()-14))*$E$9)+MAX(0,($D$10-(ROW()-14))*$E$10)</f>
        <v>#N/A</v>
      </c>
      <c r="J31" s="34"/>
      <c r="K31" s="34"/>
      <c r="L31" s="34"/>
    </row>
    <row r="32" spans="1:12" ht="13.8" x14ac:dyDescent="0.25">
      <c r="A32" s="43">
        <v>46753</v>
      </c>
      <c r="B32" s="50" t="e">
        <f>IF(ROW()-14&lt;=$D$8,$E$8,0)</f>
        <v>#N/A</v>
      </c>
      <c r="C32" s="50" t="e">
        <f>IF(ROW()-14&lt;=$D$9,$E$9,0)</f>
        <v>#N/A</v>
      </c>
      <c r="D32" s="50" t="e">
        <f>IF(ROW()-14&lt;=$D$10,$E$10,0)</f>
        <v>#N/A</v>
      </c>
      <c r="E32" s="50" t="e">
        <f>SUM(B32)</f>
        <v>#N/A</v>
      </c>
      <c r="F32" s="50">
        <f>$L$7</f>
        <v>0</v>
      </c>
      <c r="G32" s="50">
        <f>$L$8</f>
        <v>0</v>
      </c>
      <c r="H32" s="50" t="e">
        <f>F32-G32-E32</f>
        <v>#N/A</v>
      </c>
      <c r="I32" s="50" t="e">
        <f>MAX(0,($D$8-(ROW()-14))*$E$8)+MAX(0,($D$9-(ROW()-14))*$E$9)+MAX(0,($D$10-(ROW()-14))*$E$10)</f>
        <v>#N/A</v>
      </c>
      <c r="J32" s="34"/>
      <c r="K32" s="34"/>
      <c r="L32" s="34"/>
    </row>
    <row r="33" spans="1:12" ht="13.8" x14ac:dyDescent="0.25">
      <c r="A33" s="42">
        <v>46784</v>
      </c>
      <c r="B33" s="50" t="e">
        <f>IF(ROW()-14&lt;=$D$8,$E$8,0)</f>
        <v>#N/A</v>
      </c>
      <c r="C33" s="50" t="e">
        <f>IF(ROW()-14&lt;=$D$9,$E$9,0)</f>
        <v>#N/A</v>
      </c>
      <c r="D33" s="50" t="e">
        <f>IF(ROW()-14&lt;=$D$10,$E$10,0)</f>
        <v>#N/A</v>
      </c>
      <c r="E33" s="50" t="e">
        <f>SUM(B33)</f>
        <v>#N/A</v>
      </c>
      <c r="F33" s="50">
        <f>$L$7</f>
        <v>0</v>
      </c>
      <c r="G33" s="50">
        <f>$L$8</f>
        <v>0</v>
      </c>
      <c r="H33" s="50" t="e">
        <f>F33-G33-E33</f>
        <v>#N/A</v>
      </c>
      <c r="I33" s="50" t="e">
        <f>MAX(0,($D$8-(ROW()-14))*$E$8)+MAX(0,($D$9-(ROW()-14))*$E$9)+MAX(0,($D$10-(ROW()-14))*$E$10)</f>
        <v>#N/A</v>
      </c>
      <c r="J33" s="34"/>
      <c r="K33" s="34"/>
      <c r="L33" s="34"/>
    </row>
    <row r="34" spans="1:12" ht="13.8" x14ac:dyDescent="0.25">
      <c r="A34" s="43">
        <v>46813</v>
      </c>
      <c r="B34" s="50" t="e">
        <f>IF(ROW()-14&lt;=$D$8,$E$8,0)</f>
        <v>#N/A</v>
      </c>
      <c r="C34" s="50" t="e">
        <f>IF(ROW()-14&lt;=$D$9,$E$9,0)</f>
        <v>#N/A</v>
      </c>
      <c r="D34" s="50" t="e">
        <f>IF(ROW()-14&lt;=$D$10,$E$10,0)</f>
        <v>#N/A</v>
      </c>
      <c r="E34" s="50" t="e">
        <f>SUM(B34)</f>
        <v>#N/A</v>
      </c>
      <c r="F34" s="50">
        <f>$L$7</f>
        <v>0</v>
      </c>
      <c r="G34" s="50">
        <f>$L$8</f>
        <v>0</v>
      </c>
      <c r="H34" s="50" t="e">
        <f>F34-G34-E34</f>
        <v>#N/A</v>
      </c>
      <c r="I34" s="50" t="e">
        <f>MAX(0,($D$8-(ROW()-14))*$E$8)+MAX(0,($D$9-(ROW()-14))*$E$9)+MAX(0,($D$10-(ROW()-14))*$E$10)</f>
        <v>#N/A</v>
      </c>
      <c r="J34" s="34"/>
      <c r="K34" s="34"/>
      <c r="L34" s="34"/>
    </row>
    <row r="35" spans="1:12" ht="13.8" x14ac:dyDescent="0.25">
      <c r="A35" s="42">
        <v>46844</v>
      </c>
      <c r="B35" s="50" t="e">
        <f>IF(ROW()-14&lt;=$D$8,$E$8,0)</f>
        <v>#N/A</v>
      </c>
      <c r="C35" s="50" t="e">
        <f>IF(ROW()-14&lt;=$D$9,$E$9,0)</f>
        <v>#N/A</v>
      </c>
      <c r="D35" s="50" t="e">
        <f>IF(ROW()-14&lt;=$D$10,$E$10,0)</f>
        <v>#N/A</v>
      </c>
      <c r="E35" s="50" t="e">
        <f>SUM(B35)</f>
        <v>#N/A</v>
      </c>
      <c r="F35" s="50">
        <f>$L$7</f>
        <v>0</v>
      </c>
      <c r="G35" s="50">
        <f>$L$8</f>
        <v>0</v>
      </c>
      <c r="H35" s="50" t="e">
        <f>F35-G35-E35</f>
        <v>#N/A</v>
      </c>
      <c r="I35" s="50" t="e">
        <f>MAX(0,($D$8-(ROW()-14))*$E$8)+MAX(0,($D$9-(ROW()-14))*$E$9)+MAX(0,($D$10-(ROW()-14))*$E$10)</f>
        <v>#N/A</v>
      </c>
      <c r="J35" s="34"/>
      <c r="K35" s="34"/>
      <c r="L35" s="34"/>
    </row>
    <row r="36" spans="1:12" ht="13.8" x14ac:dyDescent="0.25">
      <c r="A36" s="43">
        <v>46874</v>
      </c>
      <c r="B36" s="50" t="e">
        <f>IF(ROW()-14&lt;=$D$8,$E$8,0)</f>
        <v>#N/A</v>
      </c>
      <c r="C36" s="50" t="e">
        <f>IF(ROW()-14&lt;=$D$9,$E$9,0)</f>
        <v>#N/A</v>
      </c>
      <c r="D36" s="50" t="e">
        <f>IF(ROW()-14&lt;=$D$10,$E$10,0)</f>
        <v>#N/A</v>
      </c>
      <c r="E36" s="50" t="e">
        <f>SUM(B36)</f>
        <v>#N/A</v>
      </c>
      <c r="F36" s="50">
        <f>$L$7</f>
        <v>0</v>
      </c>
      <c r="G36" s="50">
        <f>$L$8</f>
        <v>0</v>
      </c>
      <c r="H36" s="50" t="e">
        <f>F36-G36-E36</f>
        <v>#N/A</v>
      </c>
      <c r="I36" s="50" t="e">
        <f>MAX(0,($D$8-(ROW()-14))*$E$8)+MAX(0,($D$9-(ROW()-14))*$E$9)+MAX(0,($D$10-(ROW()-14))*$E$10)</f>
        <v>#N/A</v>
      </c>
      <c r="J36" s="34"/>
      <c r="K36" s="34"/>
      <c r="L36" s="34"/>
    </row>
    <row r="37" spans="1:12" ht="13.8" x14ac:dyDescent="0.25">
      <c r="A37" s="42">
        <v>46905</v>
      </c>
      <c r="B37" s="50" t="e">
        <f>IF(ROW()-14&lt;=$D$8,$E$8,0)</f>
        <v>#N/A</v>
      </c>
      <c r="C37" s="50" t="e">
        <f>IF(ROW()-14&lt;=$D$9,$E$9,0)</f>
        <v>#N/A</v>
      </c>
      <c r="D37" s="50" t="e">
        <f>IF(ROW()-14&lt;=$D$10,$E$10,0)</f>
        <v>#N/A</v>
      </c>
      <c r="E37" s="50" t="e">
        <f>SUM(B37)</f>
        <v>#N/A</v>
      </c>
      <c r="F37" s="50">
        <f>$L$7</f>
        <v>0</v>
      </c>
      <c r="G37" s="50">
        <f>$L$8</f>
        <v>0</v>
      </c>
      <c r="H37" s="50" t="e">
        <f>F37-G37-E37</f>
        <v>#N/A</v>
      </c>
      <c r="I37" s="50" t="e">
        <f>MAX(0,($D$8-(ROW()-14))*$E$8)+MAX(0,($D$9-(ROW()-14))*$E$9)+MAX(0,($D$10-(ROW()-14))*$E$10)</f>
        <v>#N/A</v>
      </c>
      <c r="J37" s="34"/>
      <c r="K37" s="34"/>
      <c r="L37" s="34"/>
    </row>
    <row r="38" spans="1:12" ht="13.8" x14ac:dyDescent="0.25">
      <c r="A38" s="43">
        <v>46935</v>
      </c>
      <c r="B38" s="50" t="e">
        <f>IF(ROW()-14&lt;=$D$8,$E$8,0)</f>
        <v>#N/A</v>
      </c>
      <c r="C38" s="50" t="e">
        <f>IF(ROW()-14&lt;=$D$9,$E$9,0)</f>
        <v>#N/A</v>
      </c>
      <c r="D38" s="50" t="e">
        <f>IF(ROW()-14&lt;=$D$10,$E$10,0)</f>
        <v>#N/A</v>
      </c>
      <c r="E38" s="50" t="e">
        <f>SUM(B38)</f>
        <v>#N/A</v>
      </c>
      <c r="F38" s="50">
        <f>$L$7</f>
        <v>0</v>
      </c>
      <c r="G38" s="50">
        <f>$L$8</f>
        <v>0</v>
      </c>
      <c r="H38" s="50" t="e">
        <f>F38-G38-E38</f>
        <v>#N/A</v>
      </c>
      <c r="I38" s="50" t="e">
        <f>MAX(0,($D$8-(ROW()-14))*$E$8)+MAX(0,($D$9-(ROW()-14))*$E$9)+MAX(0,($D$10-(ROW()-14))*$E$10)</f>
        <v>#N/A</v>
      </c>
      <c r="J38" s="34"/>
      <c r="K38" s="34"/>
      <c r="L38" s="34"/>
    </row>
    <row r="39" spans="1:12" ht="13.8" x14ac:dyDescent="0.25">
      <c r="A39" s="42">
        <v>46966</v>
      </c>
      <c r="B39" s="50" t="e">
        <f>IF(ROW()-14&lt;=$D$8,$E$8,0)</f>
        <v>#N/A</v>
      </c>
      <c r="C39" s="50" t="e">
        <f>IF(ROW()-14&lt;=$D$9,$E$9,0)</f>
        <v>#N/A</v>
      </c>
      <c r="D39" s="50" t="e">
        <f>IF(ROW()-14&lt;=$D$10,$E$10,0)</f>
        <v>#N/A</v>
      </c>
      <c r="E39" s="50" t="e">
        <f>SUM(B39)</f>
        <v>#N/A</v>
      </c>
      <c r="F39" s="50">
        <f>$L$7</f>
        <v>0</v>
      </c>
      <c r="G39" s="50">
        <f>$L$8</f>
        <v>0</v>
      </c>
      <c r="H39" s="50" t="e">
        <f>F39-G39-E39</f>
        <v>#N/A</v>
      </c>
      <c r="I39" s="50" t="e">
        <f>MAX(0,($D$8-(ROW()-14))*$E$8)+MAX(0,($D$9-(ROW()-14))*$E$9)+MAX(0,($D$10-(ROW()-14))*$E$10)</f>
        <v>#N/A</v>
      </c>
      <c r="J39" s="34"/>
      <c r="K39" s="34"/>
      <c r="L39" s="34"/>
    </row>
    <row r="40" spans="1:12" ht="13.8" x14ac:dyDescent="0.25">
      <c r="A40" s="43">
        <v>46997</v>
      </c>
      <c r="B40" s="50" t="e">
        <f>IF(ROW()-14&lt;=$D$8,$E$8,0)</f>
        <v>#N/A</v>
      </c>
      <c r="C40" s="50" t="e">
        <f>IF(ROW()-14&lt;=$D$9,$E$9,0)</f>
        <v>#N/A</v>
      </c>
      <c r="D40" s="50" t="e">
        <f>IF(ROW()-14&lt;=$D$10,$E$10,0)</f>
        <v>#N/A</v>
      </c>
      <c r="E40" s="50" t="e">
        <f>SUM(B40)</f>
        <v>#N/A</v>
      </c>
      <c r="F40" s="50">
        <f>$L$7</f>
        <v>0</v>
      </c>
      <c r="G40" s="50">
        <f>$L$8</f>
        <v>0</v>
      </c>
      <c r="H40" s="50" t="e">
        <f>F40-G40-E40</f>
        <v>#N/A</v>
      </c>
      <c r="I40" s="50" t="e">
        <f>MAX(0,($D$8-(ROW()-14))*$E$8)+MAX(0,($D$9-(ROW()-14))*$E$9)+MAX(0,($D$10-(ROW()-14))*$E$10)</f>
        <v>#N/A</v>
      </c>
      <c r="J40" s="34"/>
      <c r="K40" s="34"/>
      <c r="L40" s="34"/>
    </row>
    <row r="41" spans="1:12" ht="13.8" x14ac:dyDescent="0.25">
      <c r="A41" s="42">
        <v>47027</v>
      </c>
      <c r="B41" s="50" t="e">
        <f>IF(ROW()-14&lt;=$D$8,$E$8,0)</f>
        <v>#N/A</v>
      </c>
      <c r="C41" s="50" t="e">
        <f>IF(ROW()-14&lt;=$D$9,$E$9,0)</f>
        <v>#N/A</v>
      </c>
      <c r="D41" s="50" t="e">
        <f>IF(ROW()-14&lt;=$D$10,$E$10,0)</f>
        <v>#N/A</v>
      </c>
      <c r="E41" s="50" t="e">
        <f>SUM(B41)</f>
        <v>#N/A</v>
      </c>
      <c r="F41" s="50">
        <f>$L$7</f>
        <v>0</v>
      </c>
      <c r="G41" s="50">
        <f>$L$8</f>
        <v>0</v>
      </c>
      <c r="H41" s="50" t="e">
        <f>F41-G41-E41</f>
        <v>#N/A</v>
      </c>
      <c r="I41" s="50" t="e">
        <f>MAX(0,($D$8-(ROW()-14))*$E$8)+MAX(0,($D$9-(ROW()-14))*$E$9)+MAX(0,($D$10-(ROW()-14))*$E$10)</f>
        <v>#N/A</v>
      </c>
      <c r="J41" s="34"/>
      <c r="K41" s="34"/>
      <c r="L41" s="34"/>
    </row>
    <row r="42" spans="1:12" ht="13.8" x14ac:dyDescent="0.25">
      <c r="A42" s="43">
        <v>47058</v>
      </c>
      <c r="B42" s="50" t="e">
        <f>IF(ROW()-14&lt;=$D$8,$E$8,0)</f>
        <v>#N/A</v>
      </c>
      <c r="C42" s="50" t="e">
        <f>IF(ROW()-14&lt;=$D$9,$E$9,0)</f>
        <v>#N/A</v>
      </c>
      <c r="D42" s="50" t="e">
        <f>IF(ROW()-14&lt;=$D$10,$E$10,0)</f>
        <v>#N/A</v>
      </c>
      <c r="E42" s="50" t="e">
        <f>SUM(B42)</f>
        <v>#N/A</v>
      </c>
      <c r="F42" s="50">
        <f>$L$7</f>
        <v>0</v>
      </c>
      <c r="G42" s="50">
        <f>$L$8</f>
        <v>0</v>
      </c>
      <c r="H42" s="50" t="e">
        <f>F42-G42-E42</f>
        <v>#N/A</v>
      </c>
      <c r="I42" s="50" t="e">
        <f>MAX(0,($D$8-(ROW()-14))*$E$8)+MAX(0,($D$9-(ROW()-14))*$E$9)+MAX(0,($D$10-(ROW()-14))*$E$10)</f>
        <v>#N/A</v>
      </c>
      <c r="J42" s="34"/>
      <c r="K42" s="34"/>
      <c r="L42" s="34"/>
    </row>
    <row r="43" spans="1:12" ht="13.8" x14ac:dyDescent="0.25">
      <c r="A43" s="42">
        <v>47088</v>
      </c>
      <c r="B43" s="50" t="e">
        <f>IF(ROW()-14&lt;=$D$8,$E$8,0)</f>
        <v>#N/A</v>
      </c>
      <c r="C43" s="50" t="e">
        <f>IF(ROW()-14&lt;=$D$9,$E$9,0)</f>
        <v>#N/A</v>
      </c>
      <c r="D43" s="50" t="e">
        <f>IF(ROW()-14&lt;=$D$10,$E$10,0)</f>
        <v>#N/A</v>
      </c>
      <c r="E43" s="50" t="e">
        <f>SUM(B43)</f>
        <v>#N/A</v>
      </c>
      <c r="F43" s="50">
        <f>$L$7</f>
        <v>0</v>
      </c>
      <c r="G43" s="50">
        <f>$L$8</f>
        <v>0</v>
      </c>
      <c r="H43" s="50" t="e">
        <f>F43-G43-E43</f>
        <v>#N/A</v>
      </c>
      <c r="I43" s="50" t="e">
        <f>MAX(0,($D$8-(ROW()-14))*$E$8)+MAX(0,($D$9-(ROW()-14))*$E$9)+MAX(0,($D$10-(ROW()-14))*$E$10)</f>
        <v>#N/A</v>
      </c>
      <c r="J43" s="34"/>
      <c r="K43" s="34"/>
      <c r="L43" s="34"/>
    </row>
    <row r="44" spans="1:12" ht="13.8" x14ac:dyDescent="0.25">
      <c r="A44" s="43">
        <v>47119</v>
      </c>
      <c r="B44" s="50" t="e">
        <f>IF(ROW()-14&lt;=$D$8,$E$8,0)</f>
        <v>#N/A</v>
      </c>
      <c r="C44" s="50" t="e">
        <f>IF(ROW()-14&lt;=$D$9,$E$9,0)</f>
        <v>#N/A</v>
      </c>
      <c r="D44" s="50" t="e">
        <f>IF(ROW()-14&lt;=$D$10,$E$10,0)</f>
        <v>#N/A</v>
      </c>
      <c r="E44" s="50" t="e">
        <f>SUM(B44)</f>
        <v>#N/A</v>
      </c>
      <c r="F44" s="50">
        <f>$L$7</f>
        <v>0</v>
      </c>
      <c r="G44" s="50">
        <f>$L$8</f>
        <v>0</v>
      </c>
      <c r="H44" s="50" t="e">
        <f>F44-G44-E44</f>
        <v>#N/A</v>
      </c>
      <c r="I44" s="50" t="e">
        <f>MAX(0,($D$8-(ROW()-14))*$E$8)+MAX(0,($D$9-(ROW()-14))*$E$9)+MAX(0,($D$10-(ROW()-14))*$E$10)</f>
        <v>#N/A</v>
      </c>
      <c r="J44" s="34"/>
      <c r="K44" s="34"/>
      <c r="L44" s="34"/>
    </row>
    <row r="45" spans="1:12" ht="13.8" x14ac:dyDescent="0.25">
      <c r="A45" s="42">
        <v>47150</v>
      </c>
      <c r="B45" s="50" t="e">
        <f>IF(ROW()-14&lt;=$D$8,$E$8,0)</f>
        <v>#N/A</v>
      </c>
      <c r="C45" s="50" t="e">
        <f>IF(ROW()-14&lt;=$D$9,$E$9,0)</f>
        <v>#N/A</v>
      </c>
      <c r="D45" s="50" t="e">
        <f>IF(ROW()-14&lt;=$D$10,$E$10,0)</f>
        <v>#N/A</v>
      </c>
      <c r="E45" s="50" t="e">
        <f>SUM(B45)</f>
        <v>#N/A</v>
      </c>
      <c r="F45" s="50">
        <f>$L$7</f>
        <v>0</v>
      </c>
      <c r="G45" s="50">
        <f>$L$8</f>
        <v>0</v>
      </c>
      <c r="H45" s="50" t="e">
        <f>F45-G45-E45</f>
        <v>#N/A</v>
      </c>
      <c r="I45" s="50" t="e">
        <f>MAX(0,($D$8-(ROW()-14))*$E$8)+MAX(0,($D$9-(ROW()-14))*$E$9)+MAX(0,($D$10-(ROW()-14))*$E$10)</f>
        <v>#N/A</v>
      </c>
      <c r="J45" s="34"/>
      <c r="K45" s="34"/>
      <c r="L45" s="34"/>
    </row>
    <row r="46" spans="1:12" ht="13.8" x14ac:dyDescent="0.25">
      <c r="A46" s="43">
        <v>47178</v>
      </c>
      <c r="B46" s="50" t="e">
        <f>IF(ROW()-14&lt;=$D$8,$E$8,0)</f>
        <v>#N/A</v>
      </c>
      <c r="C46" s="50" t="e">
        <f>IF(ROW()-14&lt;=$D$9,$E$9,0)</f>
        <v>#N/A</v>
      </c>
      <c r="D46" s="50" t="e">
        <f>IF(ROW()-14&lt;=$D$10,$E$10,0)</f>
        <v>#N/A</v>
      </c>
      <c r="E46" s="50" t="e">
        <f>SUM(B46)</f>
        <v>#N/A</v>
      </c>
      <c r="F46" s="50">
        <f>$L$7</f>
        <v>0</v>
      </c>
      <c r="G46" s="50">
        <f>$L$8</f>
        <v>0</v>
      </c>
      <c r="H46" s="50" t="e">
        <f>F46-G46-E46</f>
        <v>#N/A</v>
      </c>
      <c r="I46" s="50" t="e">
        <f>MAX(0,($D$8-(ROW()-14))*$E$8)+MAX(0,($D$9-(ROW()-14))*$E$9)+MAX(0,($D$10-(ROW()-14))*$E$10)</f>
        <v>#N/A</v>
      </c>
      <c r="J46" s="34"/>
      <c r="K46" s="34"/>
      <c r="L46" s="34"/>
    </row>
    <row r="47" spans="1:12" ht="13.8" x14ac:dyDescent="0.25">
      <c r="A47" s="42">
        <v>47209</v>
      </c>
      <c r="B47" s="50" t="e">
        <f>IF(ROW()-14&lt;=$D$8,$E$8,0)</f>
        <v>#N/A</v>
      </c>
      <c r="C47" s="50" t="e">
        <f>IF(ROW()-14&lt;=$D$9,$E$9,0)</f>
        <v>#N/A</v>
      </c>
      <c r="D47" s="50" t="e">
        <f>IF(ROW()-14&lt;=$D$10,$E$10,0)</f>
        <v>#N/A</v>
      </c>
      <c r="E47" s="50" t="e">
        <f>SUM(B47)</f>
        <v>#N/A</v>
      </c>
      <c r="F47" s="50">
        <f>$L$7</f>
        <v>0</v>
      </c>
      <c r="G47" s="50">
        <f>$L$8</f>
        <v>0</v>
      </c>
      <c r="H47" s="50" t="e">
        <f>F47-G47-E47</f>
        <v>#N/A</v>
      </c>
      <c r="I47" s="50" t="e">
        <f>MAX(0,($D$8-(ROW()-14))*$E$8)+MAX(0,($D$9-(ROW()-14))*$E$9)+MAX(0,($D$10-(ROW()-14))*$E$10)</f>
        <v>#N/A</v>
      </c>
      <c r="J47" s="34"/>
      <c r="K47" s="34"/>
      <c r="L47" s="34"/>
    </row>
    <row r="48" spans="1:12" ht="13.8" x14ac:dyDescent="0.25">
      <c r="A48" s="43">
        <v>47239</v>
      </c>
      <c r="B48" s="50" t="e">
        <f>IF(ROW()-14&lt;=$D$8,$E$8,0)</f>
        <v>#N/A</v>
      </c>
      <c r="C48" s="50" t="e">
        <f>IF(ROW()-14&lt;=$D$9,$E$9,0)</f>
        <v>#N/A</v>
      </c>
      <c r="D48" s="50" t="e">
        <f>IF(ROW()-14&lt;=$D$10,$E$10,0)</f>
        <v>#N/A</v>
      </c>
      <c r="E48" s="50" t="e">
        <f>SUM(B48)</f>
        <v>#N/A</v>
      </c>
      <c r="F48" s="50">
        <f>$L$7</f>
        <v>0</v>
      </c>
      <c r="G48" s="50">
        <f>$L$8</f>
        <v>0</v>
      </c>
      <c r="H48" s="50" t="e">
        <f>F48-G48-E48</f>
        <v>#N/A</v>
      </c>
      <c r="I48" s="50" t="e">
        <f>MAX(0,($D$8-(ROW()-14))*$E$8)+MAX(0,($D$9-(ROW()-14))*$E$9)+MAX(0,($D$10-(ROW()-14))*$E$10)</f>
        <v>#N/A</v>
      </c>
      <c r="J48" s="34"/>
      <c r="K48" s="34"/>
      <c r="L48" s="34"/>
    </row>
    <row r="49" spans="1:12" ht="13.8" x14ac:dyDescent="0.25">
      <c r="A49" s="42">
        <v>47270</v>
      </c>
      <c r="B49" s="50" t="e">
        <f>IF(ROW()-14&lt;=$D$8,$E$8,0)</f>
        <v>#N/A</v>
      </c>
      <c r="C49" s="50" t="e">
        <f>IF(ROW()-14&lt;=$D$9,$E$9,0)</f>
        <v>#N/A</v>
      </c>
      <c r="D49" s="50" t="e">
        <f>IF(ROW()-14&lt;=$D$10,$E$10,0)</f>
        <v>#N/A</v>
      </c>
      <c r="E49" s="50" t="e">
        <f>SUM(B49)</f>
        <v>#N/A</v>
      </c>
      <c r="F49" s="50">
        <f>$L$7</f>
        <v>0</v>
      </c>
      <c r="G49" s="50">
        <f>$L$8</f>
        <v>0</v>
      </c>
      <c r="H49" s="50" t="e">
        <f>F49-G49-E49</f>
        <v>#N/A</v>
      </c>
      <c r="I49" s="50" t="e">
        <f>MAX(0,($D$8-(ROW()-14))*$E$8)+MAX(0,($D$9-(ROW()-14))*$E$9)+MAX(0,($D$10-(ROW()-14))*$E$10)</f>
        <v>#N/A</v>
      </c>
      <c r="J49" s="34"/>
      <c r="K49" s="34"/>
      <c r="L49" s="34"/>
    </row>
    <row r="50" spans="1:12" ht="13.8" x14ac:dyDescent="0.25">
      <c r="A50" s="43">
        <v>47300</v>
      </c>
      <c r="B50" s="50" t="e">
        <f>IF(ROW()-14&lt;=$D$8,$E$8,0)</f>
        <v>#N/A</v>
      </c>
      <c r="C50" s="50" t="e">
        <f>IF(ROW()-14&lt;=$D$9,$E$9,0)</f>
        <v>#N/A</v>
      </c>
      <c r="D50" s="50" t="e">
        <f>IF(ROW()-14&lt;=$D$10,$E$10,0)</f>
        <v>#N/A</v>
      </c>
      <c r="E50" s="50" t="e">
        <f>SUM(B50)</f>
        <v>#N/A</v>
      </c>
      <c r="F50" s="50">
        <f>$L$7</f>
        <v>0</v>
      </c>
      <c r="G50" s="50">
        <f>$L$8</f>
        <v>0</v>
      </c>
      <c r="H50" s="50" t="e">
        <f>F50-G50-E50</f>
        <v>#N/A</v>
      </c>
      <c r="I50" s="50" t="e">
        <f>MAX(0,($D$8-(ROW()-14))*$E$8)+MAX(0,($D$9-(ROW()-14))*$E$9)+MAX(0,($D$10-(ROW()-14))*$E$10)</f>
        <v>#N/A</v>
      </c>
      <c r="J50" s="34"/>
      <c r="K50" s="34"/>
      <c r="L50" s="34"/>
    </row>
    <row r="51" spans="1:12" ht="13.8" x14ac:dyDescent="0.25">
      <c r="A51" s="42">
        <v>47331</v>
      </c>
      <c r="B51" s="50" t="e">
        <f>IF(ROW()-14&lt;=$D$8,$E$8,0)</f>
        <v>#N/A</v>
      </c>
      <c r="C51" s="50" t="e">
        <f>IF(ROW()-14&lt;=$D$9,$E$9,0)</f>
        <v>#N/A</v>
      </c>
      <c r="D51" s="50" t="e">
        <f>IF(ROW()-14&lt;=$D$10,$E$10,0)</f>
        <v>#N/A</v>
      </c>
      <c r="E51" s="50" t="e">
        <f>SUM(B51)</f>
        <v>#N/A</v>
      </c>
      <c r="F51" s="50">
        <f>$L$7</f>
        <v>0</v>
      </c>
      <c r="G51" s="50">
        <f>$L$8</f>
        <v>0</v>
      </c>
      <c r="H51" s="50" t="e">
        <f>F51-G51-E51</f>
        <v>#N/A</v>
      </c>
      <c r="I51" s="50" t="e">
        <f>MAX(0,($D$8-(ROW()-14))*$E$8)+MAX(0,($D$9-(ROW()-14))*$E$9)+MAX(0,($D$10-(ROW()-14))*$E$10)</f>
        <v>#N/A</v>
      </c>
      <c r="J51" s="34"/>
      <c r="K51" s="34"/>
      <c r="L51" s="34"/>
    </row>
    <row r="52" spans="1:12" ht="13.8" x14ac:dyDescent="0.25">
      <c r="A52" s="43">
        <v>47362</v>
      </c>
      <c r="B52" s="50" t="e">
        <f>IF(ROW()-14&lt;=$D$8,$E$8,0)</f>
        <v>#N/A</v>
      </c>
      <c r="C52" s="50" t="e">
        <f>IF(ROW()-14&lt;=$D$9,$E$9,0)</f>
        <v>#N/A</v>
      </c>
      <c r="D52" s="50" t="e">
        <f>IF(ROW()-14&lt;=$D$10,$E$10,0)</f>
        <v>#N/A</v>
      </c>
      <c r="E52" s="50" t="e">
        <f>SUM(B52)</f>
        <v>#N/A</v>
      </c>
      <c r="F52" s="50">
        <f>$L$7</f>
        <v>0</v>
      </c>
      <c r="G52" s="50">
        <f>$L$8</f>
        <v>0</v>
      </c>
      <c r="H52" s="50" t="e">
        <f>F52-G52-E52</f>
        <v>#N/A</v>
      </c>
      <c r="I52" s="50" t="e">
        <f>MAX(0,($D$8-(ROW()-14))*$E$8)+MAX(0,($D$9-(ROW()-14))*$E$9)+MAX(0,($D$10-(ROW()-14))*$E$10)</f>
        <v>#N/A</v>
      </c>
      <c r="J52" s="34"/>
      <c r="K52" s="34"/>
      <c r="L52" s="34"/>
    </row>
    <row r="53" spans="1:12" ht="13.8" x14ac:dyDescent="0.25">
      <c r="A53" s="42">
        <v>47392</v>
      </c>
      <c r="B53" s="50" t="e">
        <f>IF(ROW()-14&lt;=$D$8,$E$8,0)</f>
        <v>#N/A</v>
      </c>
      <c r="C53" s="50" t="e">
        <f>IF(ROW()-14&lt;=$D$9,$E$9,0)</f>
        <v>#N/A</v>
      </c>
      <c r="D53" s="50" t="e">
        <f>IF(ROW()-14&lt;=$D$10,$E$10,0)</f>
        <v>#N/A</v>
      </c>
      <c r="E53" s="50" t="e">
        <f>SUM(B53)</f>
        <v>#N/A</v>
      </c>
      <c r="F53" s="50">
        <f>$L$7</f>
        <v>0</v>
      </c>
      <c r="G53" s="50">
        <f>$L$8</f>
        <v>0</v>
      </c>
      <c r="H53" s="50" t="e">
        <f>F53-G53-E53</f>
        <v>#N/A</v>
      </c>
      <c r="I53" s="50" t="e">
        <f>MAX(0,($D$8-(ROW()-14))*$E$8)+MAX(0,($D$9-(ROW()-14))*$E$9)+MAX(0,($D$10-(ROW()-14))*$E$10)</f>
        <v>#N/A</v>
      </c>
      <c r="J53" s="34"/>
      <c r="K53" s="34"/>
      <c r="L53" s="34"/>
    </row>
    <row r="54" spans="1:12" ht="13.8" x14ac:dyDescent="0.25">
      <c r="A54" s="43">
        <v>47423</v>
      </c>
      <c r="B54" s="50" t="e">
        <f>IF(ROW()-14&lt;=$D$8,$E$8,0)</f>
        <v>#N/A</v>
      </c>
      <c r="C54" s="50" t="e">
        <f>IF(ROW()-14&lt;=$D$9,$E$9,0)</f>
        <v>#N/A</v>
      </c>
      <c r="D54" s="50" t="e">
        <f>IF(ROW()-14&lt;=$D$10,$E$10,0)</f>
        <v>#N/A</v>
      </c>
      <c r="E54" s="50" t="e">
        <f>SUM(B54)</f>
        <v>#N/A</v>
      </c>
      <c r="F54" s="50">
        <f>$L$7</f>
        <v>0</v>
      </c>
      <c r="G54" s="50">
        <f>$L$8</f>
        <v>0</v>
      </c>
      <c r="H54" s="50" t="e">
        <f>F54-G54-E54</f>
        <v>#N/A</v>
      </c>
      <c r="I54" s="50" t="e">
        <f>MAX(0,($D$8-(ROW()-14))*$E$8)+MAX(0,($D$9-(ROW()-14))*$E$9)+MAX(0,($D$10-(ROW()-14))*$E$10)</f>
        <v>#N/A</v>
      </c>
      <c r="J54" s="34"/>
      <c r="K54" s="34"/>
      <c r="L54" s="34"/>
    </row>
    <row r="55" spans="1:12" ht="13.8" x14ac:dyDescent="0.25">
      <c r="A55" s="42">
        <v>47453</v>
      </c>
      <c r="B55" s="50" t="e">
        <f>IF(ROW()-14&lt;=$D$8,$E$8,0)</f>
        <v>#N/A</v>
      </c>
      <c r="C55" s="50" t="e">
        <f>IF(ROW()-14&lt;=$D$9,$E$9,0)</f>
        <v>#N/A</v>
      </c>
      <c r="D55" s="50" t="e">
        <f>IF(ROW()-14&lt;=$D$10,$E$10,0)</f>
        <v>#N/A</v>
      </c>
      <c r="E55" s="50" t="e">
        <f>SUM(B55)</f>
        <v>#N/A</v>
      </c>
      <c r="F55" s="50">
        <f>$L$7</f>
        <v>0</v>
      </c>
      <c r="G55" s="50">
        <f>$L$8</f>
        <v>0</v>
      </c>
      <c r="H55" s="50" t="e">
        <f>F55-G55-E55</f>
        <v>#N/A</v>
      </c>
      <c r="I55" s="50" t="e">
        <f>MAX(0,($D$8-(ROW()-14))*$E$8)+MAX(0,($D$9-(ROW()-14))*$E$9)+MAX(0,($D$10-(ROW()-14))*$E$10)</f>
        <v>#N/A</v>
      </c>
      <c r="J55" s="34"/>
      <c r="K55" s="34"/>
      <c r="L55" s="34"/>
    </row>
    <row r="56" spans="1:12" ht="13.8" x14ac:dyDescent="0.25">
      <c r="A56" s="43">
        <v>47484</v>
      </c>
      <c r="B56" s="50" t="e">
        <f>IF(ROW()-14&lt;=$D$8,$E$8,0)</f>
        <v>#N/A</v>
      </c>
      <c r="C56" s="50" t="e">
        <f>IF(ROW()-14&lt;=$D$9,$E$9,0)</f>
        <v>#N/A</v>
      </c>
      <c r="D56" s="50" t="e">
        <f>IF(ROW()-14&lt;=$D$10,$E$10,0)</f>
        <v>#N/A</v>
      </c>
      <c r="E56" s="50" t="e">
        <f>SUM(B56)</f>
        <v>#N/A</v>
      </c>
      <c r="F56" s="50">
        <f>$L$7</f>
        <v>0</v>
      </c>
      <c r="G56" s="50">
        <f>$L$8</f>
        <v>0</v>
      </c>
      <c r="H56" s="50" t="e">
        <f>F56-G56-E56</f>
        <v>#N/A</v>
      </c>
      <c r="I56" s="50" t="e">
        <f>MAX(0,($D$8-(ROW()-14))*$E$8)+MAX(0,($D$9-(ROW()-14))*$E$9)+MAX(0,($D$10-(ROW()-14))*$E$10)</f>
        <v>#N/A</v>
      </c>
      <c r="J56" s="34"/>
      <c r="K56" s="34"/>
      <c r="L56" s="34"/>
    </row>
    <row r="57" spans="1:12" ht="13.8" x14ac:dyDescent="0.25">
      <c r="A57" s="42">
        <v>47515</v>
      </c>
      <c r="B57" s="50" t="e">
        <f>IF(ROW()-14&lt;=$D$8,$E$8,0)</f>
        <v>#N/A</v>
      </c>
      <c r="C57" s="50" t="e">
        <f>IF(ROW()-14&lt;=$D$9,$E$9,0)</f>
        <v>#N/A</v>
      </c>
      <c r="D57" s="50" t="e">
        <f>IF(ROW()-14&lt;=$D$10,$E$10,0)</f>
        <v>#N/A</v>
      </c>
      <c r="E57" s="50" t="e">
        <f>SUM(B57)</f>
        <v>#N/A</v>
      </c>
      <c r="F57" s="50">
        <f>$L$7</f>
        <v>0</v>
      </c>
      <c r="G57" s="50">
        <f>$L$8</f>
        <v>0</v>
      </c>
      <c r="H57" s="50" t="e">
        <f>F57-G57-E57</f>
        <v>#N/A</v>
      </c>
      <c r="I57" s="50" t="e">
        <f>MAX(0,($D$8-(ROW()-14))*$E$8)+MAX(0,($D$9-(ROW()-14))*$E$9)+MAX(0,($D$10-(ROW()-14))*$E$10)</f>
        <v>#N/A</v>
      </c>
      <c r="J57" s="34"/>
      <c r="K57" s="34"/>
      <c r="L57" s="34"/>
    </row>
    <row r="58" spans="1:12" ht="13.8" x14ac:dyDescent="0.25">
      <c r="A58" s="43">
        <v>47543</v>
      </c>
      <c r="B58" s="50" t="e">
        <f>IF(ROW()-14&lt;=$D$8,$E$8,0)</f>
        <v>#N/A</v>
      </c>
      <c r="C58" s="50" t="e">
        <f>IF(ROW()-14&lt;=$D$9,$E$9,0)</f>
        <v>#N/A</v>
      </c>
      <c r="D58" s="50" t="e">
        <f>IF(ROW()-14&lt;=$D$10,$E$10,0)</f>
        <v>#N/A</v>
      </c>
      <c r="E58" s="50" t="e">
        <f>SUM(B58)</f>
        <v>#N/A</v>
      </c>
      <c r="F58" s="50">
        <f>$L$7</f>
        <v>0</v>
      </c>
      <c r="G58" s="50">
        <f>$L$8</f>
        <v>0</v>
      </c>
      <c r="H58" s="50" t="e">
        <f>F58-G58-E58</f>
        <v>#N/A</v>
      </c>
      <c r="I58" s="50" t="e">
        <f>MAX(0,($D$8-(ROW()-14))*$E$8)+MAX(0,($D$9-(ROW()-14))*$E$9)+MAX(0,($D$10-(ROW()-14))*$E$10)</f>
        <v>#N/A</v>
      </c>
      <c r="J58" s="34"/>
      <c r="K58" s="34"/>
      <c r="L58" s="34"/>
    </row>
    <row r="59" spans="1:12" ht="13.8" x14ac:dyDescent="0.25">
      <c r="A59" s="42">
        <v>47574</v>
      </c>
      <c r="B59" s="50" t="e">
        <f>IF(ROW()-14&lt;=$D$8,$E$8,0)</f>
        <v>#N/A</v>
      </c>
      <c r="C59" s="50" t="e">
        <f>IF(ROW()-14&lt;=$D$9,$E$9,0)</f>
        <v>#N/A</v>
      </c>
      <c r="D59" s="50" t="e">
        <f>IF(ROW()-14&lt;=$D$10,$E$10,0)</f>
        <v>#N/A</v>
      </c>
      <c r="E59" s="50" t="e">
        <f>SUM(B59)</f>
        <v>#N/A</v>
      </c>
      <c r="F59" s="50">
        <f>$L$7</f>
        <v>0</v>
      </c>
      <c r="G59" s="50">
        <f>$L$8</f>
        <v>0</v>
      </c>
      <c r="H59" s="50" t="e">
        <f>F59-G59-E59</f>
        <v>#N/A</v>
      </c>
      <c r="I59" s="50" t="e">
        <f>MAX(0,($D$8-(ROW()-14))*$E$8)+MAX(0,($D$9-(ROW()-14))*$E$9)+MAX(0,($D$10-(ROW()-14))*$E$10)</f>
        <v>#N/A</v>
      </c>
      <c r="J59" s="34"/>
      <c r="K59" s="34"/>
      <c r="L59" s="34"/>
    </row>
    <row r="60" spans="1:12" ht="13.8" x14ac:dyDescent="0.25">
      <c r="A60" s="43">
        <v>47604</v>
      </c>
      <c r="B60" s="50" t="e">
        <f>IF(ROW()-14&lt;=$D$8,$E$8,0)</f>
        <v>#N/A</v>
      </c>
      <c r="C60" s="50" t="e">
        <f>IF(ROW()-14&lt;=$D$9,$E$9,0)</f>
        <v>#N/A</v>
      </c>
      <c r="D60" s="50" t="e">
        <f>IF(ROW()-14&lt;=$D$10,$E$10,0)</f>
        <v>#N/A</v>
      </c>
      <c r="E60" s="50" t="e">
        <f>SUM(B60)</f>
        <v>#N/A</v>
      </c>
      <c r="F60" s="50">
        <f>$L$7</f>
        <v>0</v>
      </c>
      <c r="G60" s="50">
        <f>$L$8</f>
        <v>0</v>
      </c>
      <c r="H60" s="50" t="e">
        <f>F60-G60-E60</f>
        <v>#N/A</v>
      </c>
      <c r="I60" s="50" t="e">
        <f>MAX(0,($D$8-(ROW()-14))*$E$8)+MAX(0,($D$9-(ROW()-14))*$E$9)+MAX(0,($D$10-(ROW()-14))*$E$10)</f>
        <v>#N/A</v>
      </c>
      <c r="J60" s="34"/>
      <c r="K60" s="34"/>
      <c r="L60" s="34"/>
    </row>
    <row r="61" spans="1:12" ht="13.8" x14ac:dyDescent="0.25">
      <c r="A61" s="42">
        <v>47635</v>
      </c>
      <c r="B61" s="50" t="e">
        <f>IF(ROW()-14&lt;=$D$8,$E$8,0)</f>
        <v>#N/A</v>
      </c>
      <c r="C61" s="50" t="e">
        <f>IF(ROW()-14&lt;=$D$9,$E$9,0)</f>
        <v>#N/A</v>
      </c>
      <c r="D61" s="50" t="e">
        <f>IF(ROW()-14&lt;=$D$10,$E$10,0)</f>
        <v>#N/A</v>
      </c>
      <c r="E61" s="50" t="e">
        <f>SUM(B61)</f>
        <v>#N/A</v>
      </c>
      <c r="F61" s="50">
        <f>$L$7</f>
        <v>0</v>
      </c>
      <c r="G61" s="50">
        <f>$L$8</f>
        <v>0</v>
      </c>
      <c r="H61" s="50" t="e">
        <f>F61-G61-E61</f>
        <v>#N/A</v>
      </c>
      <c r="I61" s="50" t="e">
        <f>MAX(0,($D$8-(ROW()-14))*$E$8)+MAX(0,($D$9-(ROW()-14))*$E$9)+MAX(0,($D$10-(ROW()-14))*$E$10)</f>
        <v>#N/A</v>
      </c>
      <c r="J61" s="34"/>
      <c r="K61" s="34"/>
      <c r="L61" s="34"/>
    </row>
    <row r="62" spans="1:12" ht="13.8" x14ac:dyDescent="0.25">
      <c r="A62" s="43">
        <v>47665</v>
      </c>
      <c r="B62" s="50" t="e">
        <f>IF(ROW()-14&lt;=$D$8,$E$8,0)</f>
        <v>#N/A</v>
      </c>
      <c r="C62" s="50" t="e">
        <f>IF(ROW()-14&lt;=$D$9,$E$9,0)</f>
        <v>#N/A</v>
      </c>
      <c r="D62" s="50" t="e">
        <f>IF(ROW()-14&lt;=$D$10,$E$10,0)</f>
        <v>#N/A</v>
      </c>
      <c r="E62" s="50" t="e">
        <f>SUM(B62)</f>
        <v>#N/A</v>
      </c>
      <c r="F62" s="50">
        <f>$L$7</f>
        <v>0</v>
      </c>
      <c r="G62" s="50">
        <f>$L$8</f>
        <v>0</v>
      </c>
      <c r="H62" s="50" t="e">
        <f>F62-G62-E62</f>
        <v>#N/A</v>
      </c>
      <c r="I62" s="50" t="e">
        <f>MAX(0,($D$8-(ROW()-14))*$E$8)+MAX(0,($D$9-(ROW()-14))*$E$9)+MAX(0,($D$10-(ROW()-14))*$E$10)</f>
        <v>#N/A</v>
      </c>
      <c r="J62" s="34"/>
      <c r="K62" s="34"/>
      <c r="L62" s="34"/>
    </row>
    <row r="63" spans="1:12" ht="13.8" x14ac:dyDescent="0.25">
      <c r="A63" s="42">
        <v>47696</v>
      </c>
      <c r="B63" s="50" t="e">
        <f>IF(ROW()-14&lt;=$D$8,$E$8,0)</f>
        <v>#N/A</v>
      </c>
      <c r="C63" s="50" t="e">
        <f>IF(ROW()-14&lt;=$D$9,$E$9,0)</f>
        <v>#N/A</v>
      </c>
      <c r="D63" s="50" t="e">
        <f>IF(ROW()-14&lt;=$D$10,$E$10,0)</f>
        <v>#N/A</v>
      </c>
      <c r="E63" s="50" t="e">
        <f>SUM(B63)</f>
        <v>#N/A</v>
      </c>
      <c r="F63" s="50">
        <f>$L$7</f>
        <v>0</v>
      </c>
      <c r="G63" s="50">
        <f>$L$8</f>
        <v>0</v>
      </c>
      <c r="H63" s="50" t="e">
        <f>F63-G63-E63</f>
        <v>#N/A</v>
      </c>
      <c r="I63" s="50" t="e">
        <f>MAX(0,($D$8-(ROW()-14))*$E$8)+MAX(0,($D$9-(ROW()-14))*$E$9)+MAX(0,($D$10-(ROW()-14))*$E$10)</f>
        <v>#N/A</v>
      </c>
      <c r="J63" s="34"/>
      <c r="K63" s="34"/>
      <c r="L63" s="34"/>
    </row>
    <row r="64" spans="1:12" ht="13.8" x14ac:dyDescent="0.25">
      <c r="A64" s="43">
        <v>47727</v>
      </c>
      <c r="B64" s="50" t="e">
        <f>IF(ROW()-14&lt;=$D$8,$E$8,0)</f>
        <v>#N/A</v>
      </c>
      <c r="C64" s="50" t="e">
        <f>IF(ROW()-14&lt;=$D$9,$E$9,0)</f>
        <v>#N/A</v>
      </c>
      <c r="D64" s="50" t="e">
        <f>IF(ROW()-14&lt;=$D$10,$E$10,0)</f>
        <v>#N/A</v>
      </c>
      <c r="E64" s="50" t="e">
        <f>SUM(B64)</f>
        <v>#N/A</v>
      </c>
      <c r="F64" s="50">
        <f>$L$7</f>
        <v>0</v>
      </c>
      <c r="G64" s="50">
        <f>$L$8</f>
        <v>0</v>
      </c>
      <c r="H64" s="50" t="e">
        <f>F64-G64-E64</f>
        <v>#N/A</v>
      </c>
      <c r="I64" s="50" t="e">
        <f>MAX(0,($D$8-(ROW()-14))*$E$8)+MAX(0,($D$9-(ROW()-14))*$E$9)+MAX(0,($D$10-(ROW()-14))*$E$10)</f>
        <v>#N/A</v>
      </c>
      <c r="J64" s="34"/>
      <c r="K64" s="34"/>
      <c r="L64" s="34"/>
    </row>
    <row r="65" spans="1:12" ht="13.8" x14ac:dyDescent="0.25">
      <c r="A65" s="42">
        <v>47757</v>
      </c>
      <c r="B65" s="50" t="e">
        <f>IF(ROW()-14&lt;=$D$8,$E$8,0)</f>
        <v>#N/A</v>
      </c>
      <c r="C65" s="50" t="e">
        <f>IF(ROW()-14&lt;=$D$9,$E$9,0)</f>
        <v>#N/A</v>
      </c>
      <c r="D65" s="50" t="e">
        <f>IF(ROW()-14&lt;=$D$10,$E$10,0)</f>
        <v>#N/A</v>
      </c>
      <c r="E65" s="50" t="e">
        <f>SUM(B65)</f>
        <v>#N/A</v>
      </c>
      <c r="F65" s="50">
        <f>$L$7</f>
        <v>0</v>
      </c>
      <c r="G65" s="50">
        <f>$L$8</f>
        <v>0</v>
      </c>
      <c r="H65" s="50" t="e">
        <f>F65-G65-E65</f>
        <v>#N/A</v>
      </c>
      <c r="I65" s="50" t="e">
        <f>MAX(0,($D$8-(ROW()-14))*$E$8)+MAX(0,($D$9-(ROW()-14))*$E$9)+MAX(0,($D$10-(ROW()-14))*$E$10)</f>
        <v>#N/A</v>
      </c>
      <c r="J65" s="34"/>
      <c r="K65" s="34"/>
      <c r="L65" s="34"/>
    </row>
    <row r="66" spans="1:12" ht="13.8" x14ac:dyDescent="0.25">
      <c r="A66" s="43">
        <v>47788</v>
      </c>
      <c r="B66" s="50" t="e">
        <f>IF(ROW()-14&lt;=$D$8,$E$8,0)</f>
        <v>#N/A</v>
      </c>
      <c r="C66" s="50" t="e">
        <f>IF(ROW()-14&lt;=$D$9,$E$9,0)</f>
        <v>#N/A</v>
      </c>
      <c r="D66" s="50" t="e">
        <f>IF(ROW()-14&lt;=$D$10,$E$10,0)</f>
        <v>#N/A</v>
      </c>
      <c r="E66" s="50" t="e">
        <f>SUM(B66)</f>
        <v>#N/A</v>
      </c>
      <c r="F66" s="50">
        <f>$L$7</f>
        <v>0</v>
      </c>
      <c r="G66" s="50">
        <f>$L$8</f>
        <v>0</v>
      </c>
      <c r="H66" s="50" t="e">
        <f>F66-G66-E66</f>
        <v>#N/A</v>
      </c>
      <c r="I66" s="50" t="e">
        <f>MAX(0,($D$8-(ROW()-14))*$E$8)+MAX(0,($D$9-(ROW()-14))*$E$9)+MAX(0,($D$10-(ROW()-14))*$E$10)</f>
        <v>#N/A</v>
      </c>
      <c r="J66" s="34"/>
      <c r="K66" s="34"/>
      <c r="L66" s="34"/>
    </row>
    <row r="67" spans="1:12" ht="13.8" x14ac:dyDescent="0.25">
      <c r="A67" s="42">
        <v>47818</v>
      </c>
      <c r="B67" s="50" t="e">
        <f>IF(ROW()-14&lt;=$D$8,$E$8,0)</f>
        <v>#N/A</v>
      </c>
      <c r="C67" s="50" t="e">
        <f>IF(ROW()-14&lt;=$D$9,$E$9,0)</f>
        <v>#N/A</v>
      </c>
      <c r="D67" s="50" t="e">
        <f>IF(ROW()-14&lt;=$D$10,$E$10,0)</f>
        <v>#N/A</v>
      </c>
      <c r="E67" s="50" t="e">
        <f>SUM(B67)</f>
        <v>#N/A</v>
      </c>
      <c r="F67" s="50">
        <f>$L$7</f>
        <v>0</v>
      </c>
      <c r="G67" s="50">
        <f>$L$8</f>
        <v>0</v>
      </c>
      <c r="H67" s="50" t="e">
        <f>F67-G67-E67</f>
        <v>#N/A</v>
      </c>
      <c r="I67" s="50" t="e">
        <f>MAX(0,($D$8-(ROW()-14))*$E$8)+MAX(0,($D$9-(ROW()-14))*$E$9)+MAX(0,($D$10-(ROW()-14))*$E$10)</f>
        <v>#N/A</v>
      </c>
      <c r="J67" s="34"/>
      <c r="K67" s="34"/>
      <c r="L67" s="34"/>
    </row>
    <row r="68" spans="1:12" ht="13.8" x14ac:dyDescent="0.25">
      <c r="A68" s="43">
        <v>47849</v>
      </c>
      <c r="B68" s="50" t="e">
        <f>IF(ROW()-14&lt;=$D$8,$E$8,0)</f>
        <v>#N/A</v>
      </c>
      <c r="C68" s="50" t="e">
        <f>IF(ROW()-14&lt;=$D$9,$E$9,0)</f>
        <v>#N/A</v>
      </c>
      <c r="D68" s="50" t="e">
        <f>IF(ROW()-14&lt;=$D$10,$E$10,0)</f>
        <v>#N/A</v>
      </c>
      <c r="E68" s="50" t="e">
        <f>SUM(B68)</f>
        <v>#N/A</v>
      </c>
      <c r="F68" s="50">
        <f>$L$7</f>
        <v>0</v>
      </c>
      <c r="G68" s="50">
        <f>$L$8</f>
        <v>0</v>
      </c>
      <c r="H68" s="50" t="e">
        <f>F68-G68-E68</f>
        <v>#N/A</v>
      </c>
      <c r="I68" s="50" t="e">
        <f>MAX(0,($D$8-(ROW()-14))*$E$8)+MAX(0,($D$9-(ROW()-14))*$E$9)+MAX(0,($D$10-(ROW()-14))*$E$10)</f>
        <v>#N/A</v>
      </c>
      <c r="J68" s="34"/>
      <c r="K68" s="34"/>
      <c r="L68" s="34"/>
    </row>
    <row r="69" spans="1:12" ht="13.8" x14ac:dyDescent="0.25">
      <c r="A69" s="42">
        <v>47880</v>
      </c>
      <c r="B69" s="50" t="e">
        <f>IF(ROW()-14&lt;=$D$8,$E$8,0)</f>
        <v>#N/A</v>
      </c>
      <c r="C69" s="50" t="e">
        <f>IF(ROW()-14&lt;=$D$9,$E$9,0)</f>
        <v>#N/A</v>
      </c>
      <c r="D69" s="50" t="e">
        <f>IF(ROW()-14&lt;=$D$10,$E$10,0)</f>
        <v>#N/A</v>
      </c>
      <c r="E69" s="50" t="e">
        <f>SUM(B69)</f>
        <v>#N/A</v>
      </c>
      <c r="F69" s="50">
        <f>$L$7</f>
        <v>0</v>
      </c>
      <c r="G69" s="50">
        <f>$L$8</f>
        <v>0</v>
      </c>
      <c r="H69" s="50" t="e">
        <f>F69-G69-E69</f>
        <v>#N/A</v>
      </c>
      <c r="I69" s="50" t="e">
        <f>MAX(0,($D$8-(ROW()-14))*$E$8)+MAX(0,($D$9-(ROW()-14))*$E$9)+MAX(0,($D$10-(ROW()-14))*$E$10)</f>
        <v>#N/A</v>
      </c>
      <c r="J69" s="34"/>
      <c r="K69" s="34"/>
      <c r="L69" s="34"/>
    </row>
    <row r="70" spans="1:12" ht="13.8" x14ac:dyDescent="0.25">
      <c r="A70" s="43">
        <v>47908</v>
      </c>
      <c r="B70" s="50" t="e">
        <f>IF(ROW()-14&lt;=$D$8,$E$8,0)</f>
        <v>#N/A</v>
      </c>
      <c r="C70" s="50" t="e">
        <f>IF(ROW()-14&lt;=$D$9,$E$9,0)</f>
        <v>#N/A</v>
      </c>
      <c r="D70" s="50" t="e">
        <f>IF(ROW()-14&lt;=$D$10,$E$10,0)</f>
        <v>#N/A</v>
      </c>
      <c r="E70" s="50" t="e">
        <f>SUM(B70)</f>
        <v>#N/A</v>
      </c>
      <c r="F70" s="50">
        <f>$L$7</f>
        <v>0</v>
      </c>
      <c r="G70" s="50">
        <f>$L$8</f>
        <v>0</v>
      </c>
      <c r="H70" s="50" t="e">
        <f>F70-G70-E70</f>
        <v>#N/A</v>
      </c>
      <c r="I70" s="50" t="e">
        <f>MAX(0,($D$8-(ROW()-14))*$E$8)+MAX(0,($D$9-(ROW()-14))*$E$9)+MAX(0,($D$10-(ROW()-14))*$E$10)</f>
        <v>#N/A</v>
      </c>
      <c r="J70" s="34"/>
      <c r="K70" s="34"/>
      <c r="L70" s="34"/>
    </row>
    <row r="71" spans="1:12" ht="13.8" x14ac:dyDescent="0.25">
      <c r="A71" s="42">
        <v>47939</v>
      </c>
      <c r="B71" s="50" t="e">
        <f>IF(ROW()-14&lt;=$D$8,$E$8,0)</f>
        <v>#N/A</v>
      </c>
      <c r="C71" s="50" t="e">
        <f>IF(ROW()-14&lt;=$D$9,$E$9,0)</f>
        <v>#N/A</v>
      </c>
      <c r="D71" s="50" t="e">
        <f>IF(ROW()-14&lt;=$D$10,$E$10,0)</f>
        <v>#N/A</v>
      </c>
      <c r="E71" s="50" t="e">
        <f>SUM(B71)</f>
        <v>#N/A</v>
      </c>
      <c r="F71" s="50">
        <f>$L$7</f>
        <v>0</v>
      </c>
      <c r="G71" s="50">
        <f>$L$8</f>
        <v>0</v>
      </c>
      <c r="H71" s="50" t="e">
        <f>F71-G71-E71</f>
        <v>#N/A</v>
      </c>
      <c r="I71" s="50" t="e">
        <f>MAX(0,($D$8-(ROW()-14))*$E$8)+MAX(0,($D$9-(ROW()-14))*$E$9)+MAX(0,($D$10-(ROW()-14))*$E$10)</f>
        <v>#N/A</v>
      </c>
      <c r="J71" s="34"/>
      <c r="K71" s="34"/>
      <c r="L71" s="34"/>
    </row>
    <row r="72" spans="1:12" ht="13.8" x14ac:dyDescent="0.25">
      <c r="A72" s="43">
        <v>47969</v>
      </c>
      <c r="B72" s="50" t="e">
        <f>IF(ROW()-14&lt;=$D$8,$E$8,0)</f>
        <v>#N/A</v>
      </c>
      <c r="C72" s="50" t="e">
        <f>IF(ROW()-14&lt;=$D$9,$E$9,0)</f>
        <v>#N/A</v>
      </c>
      <c r="D72" s="50" t="e">
        <f>IF(ROW()-14&lt;=$D$10,$E$10,0)</f>
        <v>#N/A</v>
      </c>
      <c r="E72" s="50" t="e">
        <f>SUM(B72)</f>
        <v>#N/A</v>
      </c>
      <c r="F72" s="50">
        <f>$L$7</f>
        <v>0</v>
      </c>
      <c r="G72" s="50">
        <f>$L$8</f>
        <v>0</v>
      </c>
      <c r="H72" s="50" t="e">
        <f>F72-G72-E72</f>
        <v>#N/A</v>
      </c>
      <c r="I72" s="50" t="e">
        <f>MAX(0,($D$8-(ROW()-14))*$E$8)+MAX(0,($D$9-(ROW()-14))*$E$9)+MAX(0,($D$10-(ROW()-14))*$E$10)</f>
        <v>#N/A</v>
      </c>
      <c r="J72" s="34"/>
      <c r="K72" s="34"/>
      <c r="L72" s="34"/>
    </row>
    <row r="73" spans="1:12" ht="13.8" x14ac:dyDescent="0.25">
      <c r="A73" s="42">
        <v>48000</v>
      </c>
      <c r="B73" s="50" t="e">
        <f>IF(ROW()-14&lt;=$D$8,$E$8,0)</f>
        <v>#N/A</v>
      </c>
      <c r="C73" s="50" t="e">
        <f>IF(ROW()-14&lt;=$D$9,$E$9,0)</f>
        <v>#N/A</v>
      </c>
      <c r="D73" s="50" t="e">
        <f>IF(ROW()-14&lt;=$D$10,$E$10,0)</f>
        <v>#N/A</v>
      </c>
      <c r="E73" s="50" t="e">
        <f>SUM(B73)</f>
        <v>#N/A</v>
      </c>
      <c r="F73" s="50">
        <f>$L$7</f>
        <v>0</v>
      </c>
      <c r="G73" s="50">
        <f>$L$8</f>
        <v>0</v>
      </c>
      <c r="H73" s="50" t="e">
        <f>F73-G73-E73</f>
        <v>#N/A</v>
      </c>
      <c r="I73" s="50" t="e">
        <f>MAX(0,($D$8-(ROW()-14))*$E$8)+MAX(0,($D$9-(ROW()-14))*$E$9)+MAX(0,($D$10-(ROW()-14))*$E$10)</f>
        <v>#N/A</v>
      </c>
      <c r="J73" s="34"/>
      <c r="K73" s="34"/>
      <c r="L73" s="34"/>
    </row>
    <row r="74" spans="1:12" ht="13.8" x14ac:dyDescent="0.25">
      <c r="A74" s="43">
        <v>48030</v>
      </c>
      <c r="B74" s="50" t="e">
        <f>IF(ROW()-14&lt;=$D$8,$E$8,0)</f>
        <v>#N/A</v>
      </c>
      <c r="C74" s="50" t="e">
        <f>IF(ROW()-14&lt;=$D$9,$E$9,0)</f>
        <v>#N/A</v>
      </c>
      <c r="D74" s="50" t="e">
        <f>IF(ROW()-14&lt;=$D$10,$E$10,0)</f>
        <v>#N/A</v>
      </c>
      <c r="E74" s="50" t="e">
        <f>SUM(B74)</f>
        <v>#N/A</v>
      </c>
      <c r="F74" s="50">
        <f>$L$7</f>
        <v>0</v>
      </c>
      <c r="G74" s="50">
        <f>$L$8</f>
        <v>0</v>
      </c>
      <c r="H74" s="50" t="e">
        <f>F74-G74-E74</f>
        <v>#N/A</v>
      </c>
      <c r="I74" s="50" t="e">
        <f>MAX(0,($D$8-(ROW()-14))*$E$8)+MAX(0,($D$9-(ROW()-14))*$E$9)+MAX(0,($D$10-(ROW()-14))*$E$10)</f>
        <v>#N/A</v>
      </c>
      <c r="J74" s="34"/>
      <c r="K74" s="34"/>
      <c r="L74" s="34"/>
    </row>
    <row r="75" spans="1:12" ht="13.8" x14ac:dyDescent="0.25">
      <c r="A75" s="42">
        <v>48061</v>
      </c>
      <c r="B75" s="50" t="e">
        <f>IF(ROW()-14&lt;=$D$8,$E$8,0)</f>
        <v>#N/A</v>
      </c>
      <c r="C75" s="50" t="e">
        <f>IF(ROW()-14&lt;=$D$9,$E$9,0)</f>
        <v>#N/A</v>
      </c>
      <c r="D75" s="50" t="e">
        <f>IF(ROW()-14&lt;=$D$10,$E$10,0)</f>
        <v>#N/A</v>
      </c>
      <c r="E75" s="50" t="e">
        <f>SUM(B75)</f>
        <v>#N/A</v>
      </c>
      <c r="F75" s="50">
        <f>$L$7</f>
        <v>0</v>
      </c>
      <c r="G75" s="50">
        <f>$L$8</f>
        <v>0</v>
      </c>
      <c r="H75" s="50" t="e">
        <f>F75-G75-E75</f>
        <v>#N/A</v>
      </c>
      <c r="I75" s="50" t="e">
        <f>MAX(0,($D$8-(ROW()-14))*$E$8)+MAX(0,($D$9-(ROW()-14))*$E$9)+MAX(0,($D$10-(ROW()-14))*$E$10)</f>
        <v>#N/A</v>
      </c>
      <c r="J75" s="34"/>
      <c r="K75" s="34"/>
      <c r="L75" s="34"/>
    </row>
    <row r="76" spans="1:12" ht="13.8" x14ac:dyDescent="0.25">
      <c r="A76" s="43">
        <v>48092</v>
      </c>
      <c r="B76" s="50" t="e">
        <f>IF(ROW()-14&lt;=$D$8,$E$8,0)</f>
        <v>#N/A</v>
      </c>
      <c r="C76" s="50" t="e">
        <f>IF(ROW()-14&lt;=$D$9,$E$9,0)</f>
        <v>#N/A</v>
      </c>
      <c r="D76" s="50" t="e">
        <f>IF(ROW()-14&lt;=$D$10,$E$10,0)</f>
        <v>#N/A</v>
      </c>
      <c r="E76" s="50" t="e">
        <f>SUM(B76)</f>
        <v>#N/A</v>
      </c>
      <c r="F76" s="50">
        <f>$L$7</f>
        <v>0</v>
      </c>
      <c r="G76" s="50">
        <f>$L$8</f>
        <v>0</v>
      </c>
      <c r="H76" s="50" t="e">
        <f>F76-G76-E76</f>
        <v>#N/A</v>
      </c>
      <c r="I76" s="50" t="e">
        <f>MAX(0,($D$8-(ROW()-14))*$E$8)+MAX(0,($D$9-(ROW()-14))*$E$9)+MAX(0,($D$10-(ROW()-14))*$E$10)</f>
        <v>#N/A</v>
      </c>
      <c r="J76" s="34"/>
      <c r="K76" s="34"/>
      <c r="L76" s="34"/>
    </row>
    <row r="77" spans="1:12" ht="13.8" x14ac:dyDescent="0.25">
      <c r="A77" s="42">
        <v>48122</v>
      </c>
      <c r="B77" s="50" t="e">
        <f>IF(ROW()-14&lt;=$D$8,$E$8,0)</f>
        <v>#N/A</v>
      </c>
      <c r="C77" s="50" t="e">
        <f>IF(ROW()-14&lt;=$D$9,$E$9,0)</f>
        <v>#N/A</v>
      </c>
      <c r="D77" s="50" t="e">
        <f>IF(ROW()-14&lt;=$D$10,$E$10,0)</f>
        <v>#N/A</v>
      </c>
      <c r="E77" s="50" t="e">
        <f>SUM(B77)</f>
        <v>#N/A</v>
      </c>
      <c r="F77" s="50">
        <f>$L$7</f>
        <v>0</v>
      </c>
      <c r="G77" s="50">
        <f>$L$8</f>
        <v>0</v>
      </c>
      <c r="H77" s="50" t="e">
        <f>F77-G77-E77</f>
        <v>#N/A</v>
      </c>
      <c r="I77" s="50" t="e">
        <f>MAX(0,($D$8-(ROW()-14))*$E$8)+MAX(0,($D$9-(ROW()-14))*$E$9)+MAX(0,($D$10-(ROW()-14))*$E$10)</f>
        <v>#N/A</v>
      </c>
      <c r="J77" s="34"/>
      <c r="K77" s="34"/>
      <c r="L77" s="34"/>
    </row>
    <row r="78" spans="1:12" ht="13.8" x14ac:dyDescent="0.25">
      <c r="A78" s="43">
        <v>48153</v>
      </c>
      <c r="B78" s="50" t="e">
        <f>IF(ROW()-14&lt;=$D$8,$E$8,0)</f>
        <v>#N/A</v>
      </c>
      <c r="C78" s="50" t="e">
        <f>IF(ROW()-14&lt;=$D$9,$E$9,0)</f>
        <v>#N/A</v>
      </c>
      <c r="D78" s="50" t="e">
        <f>IF(ROW()-14&lt;=$D$10,$E$10,0)</f>
        <v>#N/A</v>
      </c>
      <c r="E78" s="50" t="e">
        <f>SUM(B78)</f>
        <v>#N/A</v>
      </c>
      <c r="F78" s="50">
        <f>$L$7</f>
        <v>0</v>
      </c>
      <c r="G78" s="50">
        <f>$L$8</f>
        <v>0</v>
      </c>
      <c r="H78" s="50" t="e">
        <f>F78-G78-E78</f>
        <v>#N/A</v>
      </c>
      <c r="I78" s="50" t="e">
        <f>MAX(0,($D$8-(ROW()-14))*$E$8)+MAX(0,($D$9-(ROW()-14))*$E$9)+MAX(0,($D$10-(ROW()-14))*$E$10)</f>
        <v>#N/A</v>
      </c>
      <c r="J78" s="34"/>
      <c r="K78" s="34"/>
      <c r="L78" s="34"/>
    </row>
    <row r="79" spans="1:12" ht="13.8" x14ac:dyDescent="0.25">
      <c r="A79" s="42">
        <v>48183</v>
      </c>
      <c r="B79" s="50" t="e">
        <f>IF(ROW()-14&lt;=$D$8,$E$8,0)</f>
        <v>#N/A</v>
      </c>
      <c r="C79" s="50" t="e">
        <f>IF(ROW()-14&lt;=$D$9,$E$9,0)</f>
        <v>#N/A</v>
      </c>
      <c r="D79" s="50" t="e">
        <f>IF(ROW()-14&lt;=$D$10,$E$10,0)</f>
        <v>#N/A</v>
      </c>
      <c r="E79" s="50" t="e">
        <f>SUM(B79)</f>
        <v>#N/A</v>
      </c>
      <c r="F79" s="50">
        <f>$L$7</f>
        <v>0</v>
      </c>
      <c r="G79" s="50">
        <f>$L$8</f>
        <v>0</v>
      </c>
      <c r="H79" s="50" t="e">
        <f>F79-G79-E79</f>
        <v>#N/A</v>
      </c>
      <c r="I79" s="50" t="e">
        <f>MAX(0,($D$8-(ROW()-14))*$E$8)+MAX(0,($D$9-(ROW()-14))*$E$9)+MAX(0,($D$10-(ROW()-14))*$E$10)</f>
        <v>#N/A</v>
      </c>
      <c r="J79" s="34"/>
      <c r="K79" s="34"/>
      <c r="L79" s="34"/>
    </row>
    <row r="80" spans="1:12" ht="13.8" x14ac:dyDescent="0.25">
      <c r="A80" s="43">
        <v>48214</v>
      </c>
      <c r="B80" s="50" t="e">
        <f>IF(ROW()-14&lt;=$D$8,$E$8,0)</f>
        <v>#N/A</v>
      </c>
      <c r="C80" s="50" t="e">
        <f>IF(ROW()-14&lt;=$D$9,$E$9,0)</f>
        <v>#N/A</v>
      </c>
      <c r="D80" s="50" t="e">
        <f>IF(ROW()-14&lt;=$D$10,$E$10,0)</f>
        <v>#N/A</v>
      </c>
      <c r="E80" s="50" t="e">
        <f>SUM(B80)</f>
        <v>#N/A</v>
      </c>
      <c r="F80" s="50">
        <f>$L$7</f>
        <v>0</v>
      </c>
      <c r="G80" s="50">
        <f>$L$8</f>
        <v>0</v>
      </c>
      <c r="H80" s="50" t="e">
        <f>F80-G80-E80</f>
        <v>#N/A</v>
      </c>
      <c r="I80" s="50" t="e">
        <f>MAX(0,($D$8-(ROW()-14))*$E$8)+MAX(0,($D$9-(ROW()-14))*$E$9)+MAX(0,($D$10-(ROW()-14))*$E$10)</f>
        <v>#N/A</v>
      </c>
      <c r="J80" s="34"/>
      <c r="K80" s="34"/>
      <c r="L80" s="34"/>
    </row>
    <row r="81" spans="1:12" ht="13.8" x14ac:dyDescent="0.25">
      <c r="A81" s="42">
        <v>48245</v>
      </c>
      <c r="B81" s="50" t="e">
        <f>IF(ROW()-14&lt;=$D$8,$E$8,0)</f>
        <v>#N/A</v>
      </c>
      <c r="C81" s="50" t="e">
        <f>IF(ROW()-14&lt;=$D$9,$E$9,0)</f>
        <v>#N/A</v>
      </c>
      <c r="D81" s="50" t="e">
        <f>IF(ROW()-14&lt;=$D$10,$E$10,0)</f>
        <v>#N/A</v>
      </c>
      <c r="E81" s="50" t="e">
        <f>SUM(B81)</f>
        <v>#N/A</v>
      </c>
      <c r="F81" s="50">
        <f>$L$7</f>
        <v>0</v>
      </c>
      <c r="G81" s="50">
        <f>$L$8</f>
        <v>0</v>
      </c>
      <c r="H81" s="50" t="e">
        <f>F81-G81-E81</f>
        <v>#N/A</v>
      </c>
      <c r="I81" s="50" t="e">
        <f>MAX(0,($D$8-(ROW()-14))*$E$8)+MAX(0,($D$9-(ROW()-14))*$E$9)+MAX(0,($D$10-(ROW()-14))*$E$10)</f>
        <v>#N/A</v>
      </c>
      <c r="J81" s="34"/>
      <c r="K81" s="34"/>
      <c r="L81" s="34"/>
    </row>
    <row r="82" spans="1:12" ht="13.8" x14ac:dyDescent="0.25">
      <c r="A82" s="43">
        <v>48274</v>
      </c>
      <c r="B82" s="50" t="e">
        <f>IF(ROW()-14&lt;=$D$8,$E$8,0)</f>
        <v>#N/A</v>
      </c>
      <c r="C82" s="50" t="e">
        <f>IF(ROW()-14&lt;=$D$9,$E$9,0)</f>
        <v>#N/A</v>
      </c>
      <c r="D82" s="50" t="e">
        <f>IF(ROW()-14&lt;=$D$10,$E$10,0)</f>
        <v>#N/A</v>
      </c>
      <c r="E82" s="50" t="e">
        <f>SUM(B82)</f>
        <v>#N/A</v>
      </c>
      <c r="F82" s="50">
        <f>$L$7</f>
        <v>0</v>
      </c>
      <c r="G82" s="50">
        <f>$L$8</f>
        <v>0</v>
      </c>
      <c r="H82" s="50" t="e">
        <f>F82-G82-E82</f>
        <v>#N/A</v>
      </c>
      <c r="I82" s="50" t="e">
        <f>MAX(0,($D$8-(ROW()-14))*$E$8)+MAX(0,($D$9-(ROW()-14))*$E$9)+MAX(0,($D$10-(ROW()-14))*$E$10)</f>
        <v>#N/A</v>
      </c>
      <c r="J82" s="34"/>
      <c r="K82" s="34"/>
      <c r="L82" s="34"/>
    </row>
    <row r="83" spans="1:12" ht="13.8" x14ac:dyDescent="0.25">
      <c r="A83" s="42">
        <v>48305</v>
      </c>
      <c r="B83" s="50" t="e">
        <f>IF(ROW()-14&lt;=$D$8,$E$8,0)</f>
        <v>#N/A</v>
      </c>
      <c r="C83" s="50" t="e">
        <f>IF(ROW()-14&lt;=$D$9,$E$9,0)</f>
        <v>#N/A</v>
      </c>
      <c r="D83" s="50" t="e">
        <f>IF(ROW()-14&lt;=$D$10,$E$10,0)</f>
        <v>#N/A</v>
      </c>
      <c r="E83" s="50" t="e">
        <f>SUM(B83)</f>
        <v>#N/A</v>
      </c>
      <c r="F83" s="50">
        <f>$L$7</f>
        <v>0</v>
      </c>
      <c r="G83" s="50">
        <f>$L$8</f>
        <v>0</v>
      </c>
      <c r="H83" s="50" t="e">
        <f>F83-G83-E83</f>
        <v>#N/A</v>
      </c>
      <c r="I83" s="50" t="e">
        <f>MAX(0,($D$8-(ROW()-14))*$E$8)+MAX(0,($D$9-(ROW()-14))*$E$9)+MAX(0,($D$10-(ROW()-14))*$E$10)</f>
        <v>#N/A</v>
      </c>
      <c r="J83" s="34"/>
      <c r="K83" s="34"/>
      <c r="L83" s="34"/>
    </row>
    <row r="84" spans="1:12" ht="13.8" x14ac:dyDescent="0.25">
      <c r="A84" s="43">
        <v>48335</v>
      </c>
      <c r="B84" s="50" t="e">
        <f>IF(ROW()-14&lt;=$D$8,$E$8,0)</f>
        <v>#N/A</v>
      </c>
      <c r="C84" s="50" t="e">
        <f>IF(ROW()-14&lt;=$D$9,$E$9,0)</f>
        <v>#N/A</v>
      </c>
      <c r="D84" s="50" t="e">
        <f>IF(ROW()-14&lt;=$D$10,$E$10,0)</f>
        <v>#N/A</v>
      </c>
      <c r="E84" s="50" t="e">
        <f>SUM(B84)</f>
        <v>#N/A</v>
      </c>
      <c r="F84" s="50">
        <f>$L$7</f>
        <v>0</v>
      </c>
      <c r="G84" s="50">
        <f>$L$8</f>
        <v>0</v>
      </c>
      <c r="H84" s="50" t="e">
        <f>F84-G84-E84</f>
        <v>#N/A</v>
      </c>
      <c r="I84" s="50" t="e">
        <f>MAX(0,($D$8-(ROW()-14))*$E$8)+MAX(0,($D$9-(ROW()-14))*$E$9)+MAX(0,($D$10-(ROW()-14))*$E$10)</f>
        <v>#N/A</v>
      </c>
      <c r="J84" s="34"/>
      <c r="K84" s="34"/>
      <c r="L84" s="34"/>
    </row>
    <row r="85" spans="1:12" ht="13.8" x14ac:dyDescent="0.25">
      <c r="A85" s="42">
        <v>48366</v>
      </c>
      <c r="B85" s="50" t="e">
        <f>IF(ROW()-14&lt;=$D$8,$E$8,0)</f>
        <v>#N/A</v>
      </c>
      <c r="C85" s="50" t="e">
        <f>IF(ROW()-14&lt;=$D$9,$E$9,0)</f>
        <v>#N/A</v>
      </c>
      <c r="D85" s="50" t="e">
        <f>IF(ROW()-14&lt;=$D$10,$E$10,0)</f>
        <v>#N/A</v>
      </c>
      <c r="E85" s="50" t="e">
        <f>SUM(B85)</f>
        <v>#N/A</v>
      </c>
      <c r="F85" s="50">
        <f>$L$7</f>
        <v>0</v>
      </c>
      <c r="G85" s="50">
        <f>$L$8</f>
        <v>0</v>
      </c>
      <c r="H85" s="50" t="e">
        <f>F85-G85-E85</f>
        <v>#N/A</v>
      </c>
      <c r="I85" s="50" t="e">
        <f>MAX(0,($D$8-(ROW()-14))*$E$8)+MAX(0,($D$9-(ROW()-14))*$E$9)+MAX(0,($D$10-(ROW()-14))*$E$10)</f>
        <v>#N/A</v>
      </c>
      <c r="J85" s="34"/>
      <c r="K85" s="34"/>
      <c r="L85" s="34"/>
    </row>
    <row r="86" spans="1:12" ht="13.8" x14ac:dyDescent="0.25">
      <c r="A86" s="43">
        <v>48396</v>
      </c>
      <c r="B86" s="50" t="e">
        <f>IF(ROW()-14&lt;=$D$8,$E$8,0)</f>
        <v>#N/A</v>
      </c>
      <c r="C86" s="50" t="e">
        <f>IF(ROW()-14&lt;=$D$9,$E$9,0)</f>
        <v>#N/A</v>
      </c>
      <c r="D86" s="50" t="e">
        <f>IF(ROW()-14&lt;=$D$10,$E$10,0)</f>
        <v>#N/A</v>
      </c>
      <c r="E86" s="50" t="e">
        <f>SUM(B86)</f>
        <v>#N/A</v>
      </c>
      <c r="F86" s="50">
        <f>$L$7</f>
        <v>0</v>
      </c>
      <c r="G86" s="50">
        <f>$L$8</f>
        <v>0</v>
      </c>
      <c r="H86" s="50" t="e">
        <f>F86-G86-E86</f>
        <v>#N/A</v>
      </c>
      <c r="I86" s="50" t="e">
        <f>MAX(0,($D$8-(ROW()-14))*$E$8)+MAX(0,($D$9-(ROW()-14))*$E$9)+MAX(0,($D$10-(ROW()-14))*$E$10)</f>
        <v>#N/A</v>
      </c>
      <c r="J86" s="34"/>
      <c r="K86" s="34"/>
      <c r="L86" s="34"/>
    </row>
    <row r="87" spans="1:12" ht="13.8" x14ac:dyDescent="0.2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</row>
    <row r="88" spans="1:12" ht="31.95" customHeight="1" x14ac:dyDescent="0.25">
      <c r="A88" s="44" t="s">
        <v>51</v>
      </c>
      <c r="B88" s="45"/>
      <c r="C88" s="45"/>
      <c r="D88" s="45"/>
      <c r="E88" s="45"/>
      <c r="F88" s="45"/>
      <c r="G88" s="45"/>
      <c r="H88" s="45"/>
      <c r="I88" s="45"/>
      <c r="J88" s="34"/>
      <c r="K88" s="34"/>
      <c r="L88" s="34"/>
    </row>
  </sheetData>
  <mergeCells count="10">
    <mergeCell ref="I10:K10"/>
    <mergeCell ref="I11:L11"/>
    <mergeCell ref="A13:I13"/>
    <mergeCell ref="A88:I88"/>
    <mergeCell ref="A1:L1"/>
    <mergeCell ref="A6:G6"/>
    <mergeCell ref="I6:L6"/>
    <mergeCell ref="I7:K7"/>
    <mergeCell ref="I8:K8"/>
    <mergeCell ref="I9:K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showGridLines="0" workbookViewId="0">
      <selection sqref="A1:F1"/>
    </sheetView>
  </sheetViews>
  <sheetFormatPr defaultColWidth="12.6640625" defaultRowHeight="15.75" customHeight="1" x14ac:dyDescent="0.25"/>
  <cols>
    <col min="1" max="1" width="15.109375" customWidth="1"/>
    <col min="2" max="2" width="10.109375" customWidth="1"/>
    <col min="3" max="3" width="31.33203125" customWidth="1"/>
    <col min="4" max="5" width="15.109375" customWidth="1"/>
    <col min="6" max="6" width="31.33203125" customWidth="1"/>
  </cols>
  <sheetData>
    <row r="1" spans="1:6" ht="32.25" customHeight="1" x14ac:dyDescent="0.25">
      <c r="A1" s="13" t="s">
        <v>1</v>
      </c>
      <c r="B1" s="14"/>
      <c r="C1" s="14"/>
      <c r="D1" s="14"/>
      <c r="E1" s="14"/>
      <c r="F1" s="14"/>
    </row>
    <row r="2" spans="1:6" ht="9" customHeight="1" x14ac:dyDescent="0.25">
      <c r="A2" s="1"/>
      <c r="B2" s="1"/>
      <c r="C2" s="1"/>
      <c r="D2" s="1"/>
      <c r="E2" s="1"/>
      <c r="F2" s="1"/>
    </row>
    <row r="3" spans="1:6" ht="26.25" customHeight="1" x14ac:dyDescent="0.25">
      <c r="A3" s="15" t="s">
        <v>2</v>
      </c>
      <c r="B3" s="16"/>
      <c r="C3" s="2" t="s">
        <v>4</v>
      </c>
      <c r="D3" s="15" t="s">
        <v>5</v>
      </c>
      <c r="E3" s="16"/>
      <c r="F3" s="2" t="s">
        <v>7</v>
      </c>
    </row>
    <row r="4" spans="1:6" ht="26.25" customHeight="1" x14ac:dyDescent="0.25">
      <c r="A4" s="17">
        <v>175000</v>
      </c>
      <c r="B4" s="18"/>
      <c r="C4" s="3">
        <v>180000</v>
      </c>
      <c r="D4" s="17">
        <f>SUMIFS(D7:D20, E7:E20, "Pago")</f>
        <v>181000</v>
      </c>
      <c r="E4" s="18"/>
      <c r="F4" s="3">
        <f>C4-D4</f>
        <v>-1000</v>
      </c>
    </row>
    <row r="5" spans="1:6" ht="20.25" customHeight="1" x14ac:dyDescent="0.25">
      <c r="A5" s="19" t="str">
        <f>IF(F4&lt;=34000, "⚠️ Avisar o David", "")</f>
        <v>⚠️ Avisar o David</v>
      </c>
      <c r="B5" s="14"/>
      <c r="C5" s="14"/>
      <c r="D5" s="14"/>
      <c r="E5" s="14"/>
      <c r="F5" s="14"/>
    </row>
    <row r="6" spans="1:6" ht="26.25" customHeight="1" x14ac:dyDescent="0.25">
      <c r="A6" s="5" t="s">
        <v>9</v>
      </c>
      <c r="B6" s="5" t="s">
        <v>13</v>
      </c>
      <c r="C6" s="5" t="s">
        <v>10</v>
      </c>
      <c r="D6" s="5" t="s">
        <v>12</v>
      </c>
      <c r="E6" s="5" t="s">
        <v>14</v>
      </c>
      <c r="F6" s="5" t="s">
        <v>17</v>
      </c>
    </row>
    <row r="7" spans="1:6" ht="26.25" customHeight="1" x14ac:dyDescent="0.25">
      <c r="A7" s="7">
        <v>46244</v>
      </c>
      <c r="B7" s="9">
        <v>1</v>
      </c>
      <c r="C7" s="9" t="s">
        <v>19</v>
      </c>
      <c r="D7" s="11">
        <f>A4*20%</f>
        <v>35000</v>
      </c>
      <c r="E7" s="9" t="s">
        <v>21</v>
      </c>
      <c r="F7" s="9"/>
    </row>
    <row r="8" spans="1:6" ht="26.25" customHeight="1" x14ac:dyDescent="0.25">
      <c r="A8" s="7">
        <v>46275</v>
      </c>
      <c r="B8" s="9"/>
      <c r="C8" s="9" t="s">
        <v>25</v>
      </c>
      <c r="D8" s="11">
        <f>A4*12%</f>
        <v>21000</v>
      </c>
      <c r="E8" s="9" t="s">
        <v>21</v>
      </c>
      <c r="F8" s="9"/>
    </row>
    <row r="9" spans="1:6" ht="26.25" customHeight="1" x14ac:dyDescent="0.25">
      <c r="A9" s="7">
        <v>46305</v>
      </c>
      <c r="B9" s="9"/>
      <c r="C9" s="9" t="s">
        <v>25</v>
      </c>
      <c r="D9" s="11">
        <f>A4*12%</f>
        <v>21000</v>
      </c>
      <c r="E9" s="9" t="s">
        <v>21</v>
      </c>
      <c r="F9" s="9"/>
    </row>
    <row r="10" spans="1:6" ht="26.25" customHeight="1" x14ac:dyDescent="0.25">
      <c r="A10" s="7">
        <v>46336</v>
      </c>
      <c r="B10" s="9"/>
      <c r="C10" s="9" t="s">
        <v>25</v>
      </c>
      <c r="D10" s="11">
        <f>A4*12%</f>
        <v>21000</v>
      </c>
      <c r="E10" s="9" t="s">
        <v>21</v>
      </c>
      <c r="F10" s="9"/>
    </row>
    <row r="11" spans="1:6" ht="26.25" customHeight="1" x14ac:dyDescent="0.25">
      <c r="A11" s="7">
        <v>46366</v>
      </c>
      <c r="B11" s="9"/>
      <c r="C11" s="9" t="s">
        <v>25</v>
      </c>
      <c r="D11" s="11">
        <f>A4*12%</f>
        <v>21000</v>
      </c>
      <c r="E11" s="9" t="s">
        <v>21</v>
      </c>
      <c r="F11" s="9"/>
    </row>
    <row r="12" spans="1:6" ht="26.25" customHeight="1" x14ac:dyDescent="0.25">
      <c r="A12" s="7">
        <v>46397</v>
      </c>
      <c r="B12" s="9"/>
      <c r="C12" s="9" t="s">
        <v>25</v>
      </c>
      <c r="D12" s="11">
        <f>A4*12%</f>
        <v>21000</v>
      </c>
      <c r="E12" s="9" t="s">
        <v>21</v>
      </c>
      <c r="F12" s="9"/>
    </row>
    <row r="13" spans="1:6" ht="26.25" customHeight="1" x14ac:dyDescent="0.25">
      <c r="A13" s="7">
        <v>46428</v>
      </c>
      <c r="B13" s="9"/>
      <c r="C13" s="9"/>
      <c r="D13" s="11">
        <v>5000</v>
      </c>
      <c r="E13" s="9" t="s">
        <v>21</v>
      </c>
      <c r="F13" s="9"/>
    </row>
    <row r="14" spans="1:6" ht="26.25" customHeight="1" x14ac:dyDescent="0.25">
      <c r="A14" s="7">
        <v>46456</v>
      </c>
      <c r="B14" s="9"/>
      <c r="C14" s="9" t="s">
        <v>26</v>
      </c>
      <c r="D14" s="11">
        <v>36000</v>
      </c>
      <c r="E14" s="9" t="s">
        <v>21</v>
      </c>
      <c r="F14" s="9"/>
    </row>
    <row r="15" spans="1:6" ht="26.25" customHeight="1" x14ac:dyDescent="0.25">
      <c r="A15" s="9"/>
      <c r="B15" s="9"/>
      <c r="C15" s="9"/>
      <c r="D15" s="11"/>
      <c r="E15" s="9"/>
      <c r="F15" s="9"/>
    </row>
    <row r="16" spans="1:6" ht="26.25" customHeight="1" x14ac:dyDescent="0.25">
      <c r="A16" s="9"/>
      <c r="B16" s="9"/>
      <c r="C16" s="9"/>
      <c r="D16" s="11"/>
      <c r="E16" s="9"/>
      <c r="F16" s="9"/>
    </row>
    <row r="17" spans="1:6" ht="26.25" customHeight="1" x14ac:dyDescent="0.25">
      <c r="A17" s="9"/>
      <c r="B17" s="9"/>
      <c r="C17" s="9"/>
      <c r="D17" s="11"/>
      <c r="E17" s="9"/>
      <c r="F17" s="9"/>
    </row>
    <row r="18" spans="1:6" ht="26.25" customHeight="1" x14ac:dyDescent="0.25">
      <c r="A18" s="9"/>
      <c r="B18" s="9"/>
      <c r="C18" s="9"/>
      <c r="D18" s="11"/>
      <c r="E18" s="9"/>
      <c r="F18" s="9"/>
    </row>
    <row r="19" spans="1:6" ht="26.25" customHeight="1" x14ac:dyDescent="0.25">
      <c r="A19" s="9"/>
      <c r="B19" s="9"/>
      <c r="C19" s="9"/>
      <c r="D19" s="11"/>
      <c r="E19" s="9"/>
      <c r="F19" s="9"/>
    </row>
    <row r="20" spans="1:6" ht="26.25" customHeight="1" x14ac:dyDescent="0.25">
      <c r="A20" s="9"/>
      <c r="B20" s="9"/>
      <c r="C20" s="9"/>
      <c r="D20" s="11"/>
      <c r="E20" s="9"/>
      <c r="F20" s="9"/>
    </row>
  </sheetData>
  <mergeCells count="6">
    <mergeCell ref="A5:F5"/>
    <mergeCell ref="A1:F1"/>
    <mergeCell ref="A3:B3"/>
    <mergeCell ref="D3:E3"/>
    <mergeCell ref="A4:B4"/>
    <mergeCell ref="D4:E4"/>
  </mergeCells>
  <dataValidations count="1">
    <dataValidation type="list" allowBlank="1" showErrorMessage="1" sqref="E7:E20" xr:uid="{00000000-0002-0000-0000-000000000000}">
      <formula1>"Pago,Pendente"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0"/>
  <sheetViews>
    <sheetView showGridLines="0" workbookViewId="0"/>
  </sheetViews>
  <sheetFormatPr defaultColWidth="12.6640625" defaultRowHeight="15.75" customHeight="1" x14ac:dyDescent="0.25"/>
  <cols>
    <col min="1" max="1" width="11.33203125" customWidth="1"/>
    <col min="2" max="2" width="31.33203125" customWidth="1"/>
    <col min="3" max="3" width="16.33203125" customWidth="1"/>
    <col min="4" max="5" width="13.88671875" customWidth="1"/>
    <col min="6" max="6" width="18.88671875" customWidth="1"/>
    <col min="7" max="7" width="19.109375" customWidth="1"/>
    <col min="8" max="8" width="53.21875" customWidth="1"/>
  </cols>
  <sheetData>
    <row r="1" spans="1:8" x14ac:dyDescent="0.25">
      <c r="A1" s="20" t="s">
        <v>0</v>
      </c>
      <c r="B1" s="14"/>
      <c r="C1" s="14"/>
      <c r="D1" s="14"/>
      <c r="E1" s="14"/>
      <c r="F1" s="14"/>
      <c r="G1" s="14"/>
      <c r="H1" s="14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1" t="s">
        <v>3</v>
      </c>
      <c r="B3" s="22"/>
      <c r="C3" s="21" t="s">
        <v>6</v>
      </c>
      <c r="D3" s="22"/>
      <c r="E3" s="21" t="s">
        <v>8</v>
      </c>
      <c r="F3" s="23"/>
      <c r="G3" s="23"/>
      <c r="H3" s="22"/>
    </row>
    <row r="4" spans="1:8" x14ac:dyDescent="0.25">
      <c r="A4" s="24">
        <f>SUM(D7:D50)</f>
        <v>26</v>
      </c>
      <c r="B4" s="25"/>
      <c r="C4" s="26">
        <f>SUMIFS(D7:D50, E7:E50, "Pago")</f>
        <v>26</v>
      </c>
      <c r="D4" s="25"/>
      <c r="E4" s="27">
        <f>SUMIFS(D7:D50, E7:E50, "Pendente")</f>
        <v>0</v>
      </c>
      <c r="F4" s="28"/>
      <c r="G4" s="28"/>
      <c r="H4" s="25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x14ac:dyDescent="0.25">
      <c r="A7" s="6">
        <v>46219</v>
      </c>
      <c r="B7" s="8" t="s">
        <v>18</v>
      </c>
      <c r="C7" s="8" t="s">
        <v>20</v>
      </c>
      <c r="D7" s="10">
        <v>26</v>
      </c>
      <c r="E7" s="8" t="s">
        <v>21</v>
      </c>
      <c r="F7" s="8" t="s">
        <v>22</v>
      </c>
      <c r="G7" s="8" t="s">
        <v>23</v>
      </c>
      <c r="H7" s="12" t="s">
        <v>24</v>
      </c>
    </row>
    <row r="8" spans="1:8" x14ac:dyDescent="0.25">
      <c r="A8" s="8"/>
      <c r="B8" s="8"/>
      <c r="C8" s="8"/>
      <c r="D8" s="10"/>
      <c r="E8" s="8"/>
      <c r="F8" s="8"/>
      <c r="G8" s="8"/>
      <c r="H8" s="8"/>
    </row>
    <row r="9" spans="1:8" x14ac:dyDescent="0.25">
      <c r="A9" s="8"/>
      <c r="B9" s="8"/>
      <c r="C9" s="8"/>
      <c r="D9" s="10"/>
      <c r="E9" s="8"/>
      <c r="F9" s="8"/>
      <c r="G9" s="8"/>
      <c r="H9" s="8"/>
    </row>
    <row r="10" spans="1:8" x14ac:dyDescent="0.25">
      <c r="A10" s="8"/>
      <c r="B10" s="8"/>
      <c r="C10" s="8"/>
      <c r="D10" s="10"/>
      <c r="E10" s="8"/>
      <c r="F10" s="8"/>
      <c r="G10" s="8"/>
      <c r="H10" s="8"/>
    </row>
    <row r="11" spans="1:8" x14ac:dyDescent="0.25">
      <c r="A11" s="8"/>
      <c r="B11" s="8"/>
      <c r="C11" s="8"/>
      <c r="D11" s="10"/>
      <c r="E11" s="8"/>
      <c r="F11" s="8"/>
      <c r="G11" s="8"/>
      <c r="H11" s="8"/>
    </row>
    <row r="12" spans="1:8" x14ac:dyDescent="0.25">
      <c r="A12" s="8"/>
      <c r="B12" s="8"/>
      <c r="C12" s="8"/>
      <c r="D12" s="10"/>
      <c r="E12" s="8"/>
      <c r="F12" s="8"/>
      <c r="G12" s="8"/>
      <c r="H12" s="8"/>
    </row>
    <row r="13" spans="1:8" x14ac:dyDescent="0.25">
      <c r="A13" s="8"/>
      <c r="B13" s="8"/>
      <c r="C13" s="8"/>
      <c r="D13" s="10"/>
      <c r="E13" s="8"/>
      <c r="F13" s="8"/>
      <c r="G13" s="8"/>
      <c r="H13" s="8"/>
    </row>
    <row r="14" spans="1:8" x14ac:dyDescent="0.25">
      <c r="A14" s="8"/>
      <c r="B14" s="8"/>
      <c r="C14" s="8"/>
      <c r="D14" s="10"/>
      <c r="E14" s="8"/>
      <c r="F14" s="8"/>
      <c r="G14" s="8"/>
      <c r="H14" s="8"/>
    </row>
    <row r="15" spans="1:8" x14ac:dyDescent="0.25">
      <c r="A15" s="8"/>
      <c r="B15" s="8"/>
      <c r="C15" s="8"/>
      <c r="D15" s="10"/>
      <c r="E15" s="8"/>
      <c r="F15" s="8"/>
      <c r="G15" s="8"/>
      <c r="H15" s="8"/>
    </row>
    <row r="16" spans="1:8" x14ac:dyDescent="0.25">
      <c r="A16" s="8"/>
      <c r="B16" s="8"/>
      <c r="C16" s="8"/>
      <c r="D16" s="10"/>
      <c r="E16" s="8"/>
      <c r="F16" s="8"/>
      <c r="G16" s="8"/>
      <c r="H16" s="8"/>
    </row>
    <row r="17" spans="1:8" x14ac:dyDescent="0.25">
      <c r="A17" s="8"/>
      <c r="B17" s="8"/>
      <c r="C17" s="8"/>
      <c r="D17" s="10"/>
      <c r="E17" s="8"/>
      <c r="F17" s="8"/>
      <c r="G17" s="8"/>
      <c r="H17" s="8"/>
    </row>
    <row r="18" spans="1:8" x14ac:dyDescent="0.25">
      <c r="A18" s="8"/>
      <c r="B18" s="8"/>
      <c r="C18" s="8"/>
      <c r="D18" s="10"/>
      <c r="E18" s="8"/>
      <c r="F18" s="8"/>
      <c r="G18" s="8"/>
      <c r="H18" s="8"/>
    </row>
    <row r="19" spans="1:8" x14ac:dyDescent="0.25">
      <c r="A19" s="8"/>
      <c r="B19" s="8"/>
      <c r="C19" s="8"/>
      <c r="D19" s="10"/>
      <c r="E19" s="8"/>
      <c r="F19" s="8"/>
      <c r="G19" s="8"/>
      <c r="H19" s="8"/>
    </row>
    <row r="20" spans="1:8" x14ac:dyDescent="0.25">
      <c r="A20" s="8"/>
      <c r="B20" s="8"/>
      <c r="C20" s="8"/>
      <c r="D20" s="10"/>
      <c r="E20" s="8"/>
      <c r="F20" s="8"/>
      <c r="G20" s="8"/>
      <c r="H20" s="8"/>
    </row>
    <row r="21" spans="1:8" x14ac:dyDescent="0.25">
      <c r="A21" s="8"/>
      <c r="B21" s="8"/>
      <c r="C21" s="8"/>
      <c r="D21" s="10"/>
      <c r="E21" s="8"/>
      <c r="F21" s="8"/>
      <c r="G21" s="8"/>
      <c r="H21" s="8"/>
    </row>
    <row r="22" spans="1:8" x14ac:dyDescent="0.25">
      <c r="A22" s="8"/>
      <c r="B22" s="8"/>
      <c r="C22" s="8"/>
      <c r="D22" s="10"/>
      <c r="E22" s="8"/>
      <c r="F22" s="8"/>
      <c r="G22" s="8"/>
      <c r="H22" s="8"/>
    </row>
    <row r="23" spans="1:8" x14ac:dyDescent="0.25">
      <c r="A23" s="8"/>
      <c r="B23" s="8"/>
      <c r="C23" s="8"/>
      <c r="D23" s="10"/>
      <c r="E23" s="8"/>
      <c r="F23" s="8"/>
      <c r="G23" s="8"/>
      <c r="H23" s="8"/>
    </row>
    <row r="24" spans="1:8" x14ac:dyDescent="0.25">
      <c r="A24" s="8"/>
      <c r="B24" s="8"/>
      <c r="C24" s="8"/>
      <c r="D24" s="10"/>
      <c r="E24" s="8"/>
      <c r="F24" s="8"/>
      <c r="G24" s="8"/>
      <c r="H24" s="8"/>
    </row>
    <row r="25" spans="1:8" x14ac:dyDescent="0.25">
      <c r="A25" s="8"/>
      <c r="B25" s="8"/>
      <c r="C25" s="8"/>
      <c r="D25" s="10"/>
      <c r="E25" s="8"/>
      <c r="F25" s="8"/>
      <c r="G25" s="8"/>
      <c r="H25" s="8"/>
    </row>
    <row r="26" spans="1:8" x14ac:dyDescent="0.25">
      <c r="A26" s="8"/>
      <c r="B26" s="8"/>
      <c r="C26" s="8"/>
      <c r="D26" s="10"/>
      <c r="E26" s="8"/>
      <c r="F26" s="8"/>
      <c r="G26" s="8"/>
      <c r="H26" s="8"/>
    </row>
    <row r="27" spans="1:8" x14ac:dyDescent="0.25">
      <c r="A27" s="8"/>
      <c r="B27" s="8"/>
      <c r="C27" s="8"/>
      <c r="D27" s="10"/>
      <c r="E27" s="8"/>
      <c r="F27" s="8"/>
      <c r="G27" s="8"/>
      <c r="H27" s="8"/>
    </row>
    <row r="28" spans="1:8" x14ac:dyDescent="0.25">
      <c r="A28" s="8"/>
      <c r="B28" s="8"/>
      <c r="C28" s="8"/>
      <c r="D28" s="10"/>
      <c r="E28" s="8"/>
      <c r="F28" s="8"/>
      <c r="G28" s="8"/>
      <c r="H28" s="8"/>
    </row>
    <row r="29" spans="1:8" x14ac:dyDescent="0.25">
      <c r="A29" s="8"/>
      <c r="B29" s="8"/>
      <c r="C29" s="8"/>
      <c r="D29" s="10"/>
      <c r="E29" s="8"/>
      <c r="F29" s="8"/>
      <c r="G29" s="8"/>
      <c r="H29" s="8"/>
    </row>
    <row r="30" spans="1:8" x14ac:dyDescent="0.25">
      <c r="A30" s="8"/>
      <c r="B30" s="8"/>
      <c r="C30" s="8"/>
      <c r="D30" s="10"/>
      <c r="E30" s="8"/>
      <c r="F30" s="8"/>
      <c r="G30" s="8"/>
      <c r="H30" s="8"/>
    </row>
    <row r="31" spans="1:8" x14ac:dyDescent="0.25">
      <c r="A31" s="8"/>
      <c r="B31" s="8"/>
      <c r="C31" s="8"/>
      <c r="D31" s="10"/>
      <c r="E31" s="8"/>
      <c r="F31" s="8"/>
      <c r="G31" s="8"/>
      <c r="H31" s="8"/>
    </row>
    <row r="32" spans="1:8" x14ac:dyDescent="0.25">
      <c r="A32" s="8"/>
      <c r="B32" s="8"/>
      <c r="C32" s="8"/>
      <c r="D32" s="10"/>
      <c r="E32" s="8"/>
      <c r="F32" s="8"/>
      <c r="G32" s="8"/>
      <c r="H32" s="8"/>
    </row>
    <row r="33" spans="1:8" x14ac:dyDescent="0.25">
      <c r="A33" s="8"/>
      <c r="B33" s="8"/>
      <c r="C33" s="8"/>
      <c r="D33" s="10"/>
      <c r="E33" s="8"/>
      <c r="F33" s="8"/>
      <c r="G33" s="8"/>
      <c r="H33" s="8"/>
    </row>
    <row r="34" spans="1:8" x14ac:dyDescent="0.25">
      <c r="A34" s="8"/>
      <c r="B34" s="8"/>
      <c r="C34" s="8"/>
      <c r="D34" s="10"/>
      <c r="E34" s="8"/>
      <c r="F34" s="8"/>
      <c r="G34" s="8"/>
      <c r="H34" s="8"/>
    </row>
    <row r="35" spans="1:8" x14ac:dyDescent="0.25">
      <c r="A35" s="8"/>
      <c r="B35" s="8"/>
      <c r="C35" s="8"/>
      <c r="D35" s="10"/>
      <c r="E35" s="8"/>
      <c r="F35" s="8"/>
      <c r="G35" s="8"/>
      <c r="H35" s="8"/>
    </row>
    <row r="36" spans="1:8" x14ac:dyDescent="0.25">
      <c r="A36" s="8"/>
      <c r="B36" s="8"/>
      <c r="C36" s="8"/>
      <c r="D36" s="10"/>
      <c r="E36" s="8"/>
      <c r="F36" s="8"/>
      <c r="G36" s="8"/>
      <c r="H36" s="8"/>
    </row>
    <row r="37" spans="1:8" x14ac:dyDescent="0.25">
      <c r="A37" s="8"/>
      <c r="B37" s="8"/>
      <c r="C37" s="8"/>
      <c r="D37" s="10"/>
      <c r="E37" s="8"/>
      <c r="F37" s="8"/>
      <c r="G37" s="8"/>
      <c r="H37" s="8"/>
    </row>
    <row r="38" spans="1:8" x14ac:dyDescent="0.25">
      <c r="A38" s="8"/>
      <c r="B38" s="8"/>
      <c r="C38" s="8"/>
      <c r="D38" s="10"/>
      <c r="E38" s="8"/>
      <c r="F38" s="8"/>
      <c r="G38" s="8"/>
      <c r="H38" s="8"/>
    </row>
    <row r="39" spans="1:8" x14ac:dyDescent="0.25">
      <c r="A39" s="8"/>
      <c r="B39" s="8"/>
      <c r="C39" s="8"/>
      <c r="D39" s="10"/>
      <c r="E39" s="8"/>
      <c r="F39" s="8"/>
      <c r="G39" s="8"/>
      <c r="H39" s="8"/>
    </row>
    <row r="40" spans="1:8" x14ac:dyDescent="0.25">
      <c r="A40" s="8"/>
      <c r="B40" s="8"/>
      <c r="C40" s="8"/>
      <c r="D40" s="10"/>
      <c r="E40" s="8"/>
      <c r="F40" s="8"/>
      <c r="G40" s="8"/>
      <c r="H40" s="8"/>
    </row>
    <row r="41" spans="1:8" x14ac:dyDescent="0.25">
      <c r="A41" s="8"/>
      <c r="B41" s="8"/>
      <c r="C41" s="8"/>
      <c r="D41" s="10"/>
      <c r="E41" s="8"/>
      <c r="F41" s="8"/>
      <c r="G41" s="8"/>
      <c r="H41" s="8"/>
    </row>
    <row r="42" spans="1:8" x14ac:dyDescent="0.25">
      <c r="A42" s="8"/>
      <c r="B42" s="8"/>
      <c r="C42" s="8"/>
      <c r="D42" s="10"/>
      <c r="E42" s="8"/>
      <c r="F42" s="8"/>
      <c r="G42" s="8"/>
      <c r="H42" s="8"/>
    </row>
    <row r="43" spans="1:8" x14ac:dyDescent="0.25">
      <c r="A43" s="8"/>
      <c r="B43" s="8"/>
      <c r="C43" s="8"/>
      <c r="D43" s="10"/>
      <c r="E43" s="8"/>
      <c r="F43" s="8"/>
      <c r="G43" s="8"/>
      <c r="H43" s="8"/>
    </row>
    <row r="44" spans="1:8" x14ac:dyDescent="0.25">
      <c r="A44" s="8"/>
      <c r="B44" s="8"/>
      <c r="C44" s="8"/>
      <c r="D44" s="10"/>
      <c r="E44" s="8"/>
      <c r="F44" s="8"/>
      <c r="G44" s="8"/>
      <c r="H44" s="8"/>
    </row>
    <row r="45" spans="1:8" x14ac:dyDescent="0.25">
      <c r="A45" s="8"/>
      <c r="B45" s="8"/>
      <c r="C45" s="8"/>
      <c r="D45" s="10"/>
      <c r="E45" s="8"/>
      <c r="F45" s="8"/>
      <c r="G45" s="8"/>
      <c r="H45" s="8"/>
    </row>
    <row r="46" spans="1:8" x14ac:dyDescent="0.25">
      <c r="A46" s="8"/>
      <c r="B46" s="8"/>
      <c r="C46" s="8"/>
      <c r="D46" s="10"/>
      <c r="E46" s="8"/>
      <c r="F46" s="8"/>
      <c r="G46" s="8"/>
      <c r="H46" s="8"/>
    </row>
    <row r="47" spans="1:8" x14ac:dyDescent="0.25">
      <c r="A47" s="8"/>
      <c r="B47" s="8"/>
      <c r="C47" s="8"/>
      <c r="D47" s="10"/>
      <c r="E47" s="8"/>
      <c r="F47" s="8"/>
      <c r="G47" s="8"/>
      <c r="H47" s="8"/>
    </row>
    <row r="48" spans="1:8" x14ac:dyDescent="0.25">
      <c r="A48" s="8"/>
      <c r="B48" s="8"/>
      <c r="C48" s="8"/>
      <c r="D48" s="10"/>
      <c r="E48" s="8"/>
      <c r="F48" s="8"/>
      <c r="G48" s="8"/>
      <c r="H48" s="8"/>
    </row>
    <row r="49" spans="1:8" x14ac:dyDescent="0.25">
      <c r="A49" s="8"/>
      <c r="B49" s="8"/>
      <c r="C49" s="8"/>
      <c r="D49" s="10"/>
      <c r="E49" s="8"/>
      <c r="F49" s="8"/>
      <c r="G49" s="8"/>
      <c r="H49" s="8"/>
    </row>
    <row r="50" spans="1:8" x14ac:dyDescent="0.25">
      <c r="A50" s="8"/>
      <c r="B50" s="8"/>
      <c r="C50" s="8"/>
      <c r="D50" s="10"/>
      <c r="E50" s="8"/>
      <c r="F50" s="8"/>
      <c r="G50" s="8"/>
      <c r="H50" s="8"/>
    </row>
  </sheetData>
  <mergeCells count="7">
    <mergeCell ref="A1:H1"/>
    <mergeCell ref="A3:B3"/>
    <mergeCell ref="C3:D3"/>
    <mergeCell ref="E3:H3"/>
    <mergeCell ref="A4:B4"/>
    <mergeCell ref="C4:D4"/>
    <mergeCell ref="E4:H4"/>
  </mergeCells>
  <dataValidations count="4">
    <dataValidation type="decimal" operator="greaterThanOrEqual" allowBlank="1" showDropDown="1" sqref="D7:D50" xr:uid="{00000000-0002-0000-0100-000000000000}">
      <formula1>0</formula1>
    </dataValidation>
    <dataValidation type="list" allowBlank="1" showErrorMessage="1" sqref="C7:C50" xr:uid="{00000000-0002-0000-0100-000001000000}">
      <formula1>"Material,Mão de Obra,Frete,Acabamento,Imprevisto,Outros"</formula1>
    </dataValidation>
    <dataValidation type="list" allowBlank="1" showErrorMessage="1" sqref="E7:E50" xr:uid="{00000000-0002-0000-0100-000002000000}">
      <formula1>"Pago,Pendente,Atrasado,Cancelado"</formula1>
    </dataValidation>
    <dataValidation type="list" allowBlank="1" sqref="G7:G50" xr:uid="{00000000-0002-0000-0100-000003000000}">
      <formula1>"PIX,Cartão de Crédito,Boleto,Dinheiro,Transferência"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Empréstimos e Pessoal</vt:lpstr>
      <vt:lpstr>Orçamento Principal</vt:lpstr>
      <vt:lpstr>Extras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- Performance</cp:lastModifiedBy>
  <dcterms:created xsi:type="dcterms:W3CDTF">2026-07-30T16:48:45Z</dcterms:created>
  <dcterms:modified xsi:type="dcterms:W3CDTF">2026-07-30T16:48:45Z</dcterms:modified>
</cp:coreProperties>
</file>